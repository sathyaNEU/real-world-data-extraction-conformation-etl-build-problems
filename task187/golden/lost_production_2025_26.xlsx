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172C9916-71A7-5A5C-8579-55832EAD7C2D}"/>
  </bookViews>
  <sheets>
    <sheet name="Lost production 2025-26" sheetId="1" r:id="rId1"/>
    <sheet name="Campaign 2027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<sst xmlns="http://schemas.openxmlformats.org/spreadsheetml/2006/main" count="35" uniqueCount="24">
  <si>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Turbine</t>
  </si>
  <si>
    <t>Downtime (MWh)</t>
  </si>
  <si>
    <t>Grid curtailment (MWh)</t>
  </si>
  <si>
    <t>Total (MWh)</t>
  </si>
  <si>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</si>
  <si>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</si>
  <si>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</si>
  <si>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</si>
  <si>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</si>
  <si>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</si>
  <si>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</si>
  <si>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</si>
  <si>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</si>
  <si>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</si>
  <si>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Farm</t>
  </si>
  <si>
    <t>Shortfall against warranted curve, same mean wind (MWh)</t>
  </si>
  <si>
    <t>Blade loss at the same turbulence (MWh)</t>
  </si>
  <si>
    <t>Normal-operation energy (MWh)</t>
  </si>
  <si>
    <t>Campaign: CH04; energy recovered over the twelve months after the work 100 MWh (to the nearest 50 MWh).</t>
  </si>
  <si>
    <t>Twelve months October 2025 to September 2026 (UK local months). Lost production by OM-07 revision 3, section 4: the warranted power at the met mast's density-corrected 80 m wind, less the turbine's power, never negative, by ten-minute interval.</t>
  </si>
  <si>
    <t>Downtime: faults, repairs and planned service, including the hours a controller was isolated for service or repair (from the work orders; the SCADA has no rows for them). Grid curtailment: intervals with an ANM instruction in force, other than downtime and stops for ice, high wind or grid loss.</t>
  </si>
  <si>
    <t>SCADA timestamps: UK local time to 3 February 2026 (site server), UTC after (hosted platform).</t>
  </si>
  <si>
    <t>Figures rounded to the nearest MWh from unrounded interval sums; the farm total is the sum of the rounded turbine figures.</t>
  </si>
  <si>
    <t>Prepared by Jenna Dyer, Asset Manager, Cairnhollow Community Energy, 14 October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</si>
</sst>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4678-F7C1-5EF5-9143-7B59E5ED4878}">
  <dimension ref="A1:D12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0.7109375" customWidth="1"/>
    <col min="2" max="2" width="16.7109375" customWidth="1"/>
    <col min="3" max="3" width="22.7109375" customWidth="1"/>
    <col min="4" max="4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60</v>
      </c>
      <c r="C2" s="2">
        <v>292</v>
      </c>
      <c r="D2" s="2">
        <v>352</v>
      </c>
    </row>
    <row r="3" spans="1:4" x14ac:dyDescent="0.25">
      <c r="A3" t="s">
        <v>5</v>
      </c>
      <c r="B3" s="2">
        <v>47</v>
      </c>
      <c r="C3" s="2">
        <v>297</v>
      </c>
      <c r="D3" s="2">
        <v>344</v>
      </c>
    </row>
    <row r="4" spans="1:4" x14ac:dyDescent="0.25">
      <c r="A4" t="s">
        <v>6</v>
      </c>
      <c r="B4" s="2">
        <v>103</v>
      </c>
      <c r="C4" s="2">
        <v>297</v>
      </c>
      <c r="D4" s="2">
        <v>400</v>
      </c>
    </row>
    <row r="5" spans="1:4" x14ac:dyDescent="0.25">
      <c r="A5" t="s">
        <v>7</v>
      </c>
      <c r="B5" s="2">
        <v>130</v>
      </c>
      <c r="C5" s="2">
        <v>293</v>
      </c>
      <c r="D5" s="2">
        <v>423</v>
      </c>
    </row>
    <row r="6" spans="1:4" x14ac:dyDescent="0.25">
      <c r="A6" t="s">
        <v>8</v>
      </c>
      <c r="B6" s="2">
        <v>51</v>
      </c>
      <c r="C6" s="2">
        <v>302</v>
      </c>
      <c r="D6" s="2">
        <v>353</v>
      </c>
    </row>
    <row r="7" spans="1:4" x14ac:dyDescent="0.25">
      <c r="A7" t="s">
        <v>9</v>
      </c>
      <c r="B7" s="2">
        <v>430</v>
      </c>
      <c r="C7" s="2">
        <v>291</v>
      </c>
      <c r="D7" s="2">
        <v>721</v>
      </c>
    </row>
    <row r="8" spans="1:4" x14ac:dyDescent="0.25">
      <c r="A8" t="s">
        <v>10</v>
      </c>
      <c r="B8" s="2">
        <v>56</v>
      </c>
      <c r="C8" s="2">
        <v>302</v>
      </c>
      <c r="D8" s="2">
        <v>358</v>
      </c>
    </row>
    <row r="9" spans="1:4" x14ac:dyDescent="0.25">
      <c r="A9" t="s">
        <v>11</v>
      </c>
      <c r="B9" s="2">
        <v>129</v>
      </c>
      <c r="C9" s="2">
        <v>304</v>
      </c>
      <c r="D9" s="2">
        <v>433</v>
      </c>
    </row>
    <row r="10" spans="1:4" x14ac:dyDescent="0.25">
      <c r="A10" t="s">
        <v>12</v>
      </c>
      <c r="B10" s="2">
        <v>341</v>
      </c>
      <c r="C10" s="2">
        <v>300</v>
      </c>
      <c r="D10" s="2">
        <v>641</v>
      </c>
    </row>
    <row r="11" spans="1:4" x14ac:dyDescent="0.25">
      <c r="A11" t="s">
        <v>13</v>
      </c>
      <c r="B11" s="2">
        <v>71</v>
      </c>
      <c r="C11" s="2">
        <v>302</v>
      </c>
      <c r="D11" s="2">
        <v>373</v>
      </c>
    </row>
    <row r="12" spans="1:4" x14ac:dyDescent="0.25">
      <c r="A12" s="3" t="s">
        <v>14</v>
      </c>
      <c r="B12" s="4">
        <f>SUM(B2:B11)</f>
        <v/>
      </c>
      <c r="C12" s="4">
        <f>SUM(C2:C11)</f>
        <v/>
      </c>
      <c r="D12" s="4">
        <f>SUM(D2:D11)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F315-E539-56C4-9378-BEC2F4BF5537}">
  <dimension ref="A1:D13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0.7109375" customWidth="1"/>
    <col min="2" max="2" width="30.7109375" customWidth="1"/>
    <col min="3" max="3" width="26.7109375" customWidth="1"/>
    <col min="4" max="4" width="22.7109375" customWidth="1"/>
  </cols>
  <sheetData>
    <row r="1" spans="1:4" x14ac:dyDescent="0.25">
      <c r="A1" s="1" t="s">
        <v>0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4</v>
      </c>
      <c r="B2">
        <v>115</v>
      </c>
      <c r="C2">
        <v>0</v>
      </c>
      <c r="D2">
        <v>7604</v>
      </c>
    </row>
    <row r="3" spans="1:4" x14ac:dyDescent="0.25">
      <c r="A3" t="s">
        <v>5</v>
      </c>
      <c r="B3">
        <v>71</v>
      </c>
      <c r="C3">
        <v>65</v>
      </c>
      <c r="D3">
        <v>7663</v>
      </c>
    </row>
    <row r="4" spans="1:4" x14ac:dyDescent="0.25">
      <c r="A4" t="s">
        <v>6</v>
      </c>
      <c r="B4">
        <v>3</v>
      </c>
      <c r="C4">
        <v>0</v>
      </c>
      <c r="D4">
        <v>7420</v>
      </c>
    </row>
    <row r="5" spans="1:4" x14ac:dyDescent="0.25">
      <c r="A5" t="s">
        <v>7</v>
      </c>
      <c r="B5">
        <v>93</v>
      </c>
      <c r="C5">
        <v>89</v>
      </c>
      <c r="D5">
        <v>7112</v>
      </c>
    </row>
    <row r="6" spans="1:4" x14ac:dyDescent="0.25">
      <c r="A6" t="s">
        <v>8</v>
      </c>
      <c r="B6">
        <v>114</v>
      </c>
      <c r="C6">
        <v>0</v>
      </c>
      <c r="D6">
        <v>7235</v>
      </c>
    </row>
    <row r="7" spans="1:4" x14ac:dyDescent="0.25">
      <c r="A7" t="s">
        <v>9</v>
      </c>
      <c r="B7">
        <v>4</v>
      </c>
      <c r="C7">
        <v>0</v>
      </c>
      <c r="D7">
        <v>5984</v>
      </c>
    </row>
    <row r="8" spans="1:4" x14ac:dyDescent="0.25">
      <c r="A8" t="s">
        <v>10</v>
      </c>
      <c r="B8">
        <v>235</v>
      </c>
      <c r="C8">
        <v>0</v>
      </c>
      <c r="D8">
        <v>7196</v>
      </c>
    </row>
    <row r="9" spans="1:4" x14ac:dyDescent="0.25">
      <c r="A9" t="s">
        <v>11</v>
      </c>
      <c r="B9">
        <v>2</v>
      </c>
      <c r="C9">
        <v>0</v>
      </c>
      <c r="D9">
        <v>6280</v>
      </c>
    </row>
    <row r="10" spans="1:4" x14ac:dyDescent="0.25">
      <c r="A10" t="s">
        <v>12</v>
      </c>
      <c r="B10">
        <v>-3</v>
      </c>
      <c r="C10">
        <v>0</v>
      </c>
      <c r="D10">
        <v>2017</v>
      </c>
    </row>
    <row r="11" spans="1:4" x14ac:dyDescent="0.25">
      <c r="A11" t="s">
        <v>13</v>
      </c>
      <c r="B11">
        <v>8</v>
      </c>
      <c r="C11">
        <v>0</v>
      </c>
      <c r="D11">
        <v>6361</v>
      </c>
    </row>
    <row r="13" spans="1:4" x14ac:dyDescent="0.25">
      <c r="A1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D7AB-19E6-590B-99C8-4C2076A35ACF}">
  <dimension ref="A1:A5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5" t="s">
        <v>19</v>
      </c>
    </row>
    <row r="2" spans="1:1" x14ac:dyDescent="0.25">
      <c r="A2" s="5" t="s">
        <v>20</v>
      </c>
    </row>
    <row r="3" spans="1:1" x14ac:dyDescent="0.25">
      <c r="A3" s="5" t="s">
        <v>21</v>
      </c>
    </row>
    <row r="4" spans="1:1" x14ac:dyDescent="0.25">
      <c r="A4" s="5" t="s">
        <v>22</v>
      </c>
    </row>
    <row r="5" spans="1:1" x14ac:dyDescent="0.25">
      <c r="A5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Lost production 2025-26</vt:lpstr>
      <vt:lpstr>Campaign 2027</vt:lpstr>
      <vt:lpstr>Notes</vt:lpstr>
    </vt:vector>
  </TitlesOfParts>
  <Company>Cairnhollow Community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Dyer</dc:creator>
  <cp:lastModifiedBy>Jenna Dyer</cp:lastModifiedBy>
  <dcterms:created xsi:type="dcterms:W3CDTF">2026-10-12T08:41:16Z</dcterms:created>
  <dcterms:modified xsi:type="dcterms:W3CDTF">2026-10-14T15:37:02Z</dcterms:modified>
</cp:coreProperties>
</file>