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6A1B70BE-126D-5C58-B647-6AA91B273B96}"/>
  </bookViews>
  <sheets>
    <sheet name="Determination" sheetId="1" r:id="rId1"/>
    <sheet name="Linkage correction" sheetId="2" r:id="rId2"/>
    <sheet name="Chart"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<sst xmlns="http://schemas.openxmlformats.org/spreadsheetml/2006/main" count="169" uniqueCount="67">
  <si>
    <t>Five of 14 network hospitals lose the 2027 Hospital Quality Bonus on fiscal 2026 mortality</t>
  </si>
  <si>
    <t>Brannock, Calloway, Mercy Valley, Northgate and Westover. Quality Measurement, October 9, 2026, for the value-based payment filing due November 1, 2026.</t>
  </si>
  <si>
    <t>Hospital</t>
  </si>
  <si>
    <t>Index admissions</t>
  </si>
  <si>
    <t>Expected deaths</t>
  </si>
  <si>
    <t>Deaths on the bills</t>
  </si>
  <si>
    <t>Deaths after discharge, linkage corrected</t>
  </si>
  <si>
    <t>Deaths</t>
  </si>
  <si>
    <t>Mortality ratio</t>
  </si>
  <si>
    <t>2027 bonus</t>
  </si>
  <si>
    <t>Halbrook inpatient payments, stays discharged fiscal 2026</t>
  </si>
  <si>
    <t>Bonus at stake (2 per cent, nearest $100)</t>
  </si>
  <si>
    <t>Saint Brendan Medical Center</t>
  </si>
  <si>
    <t>Keeps</t>
  </si>
  <si>
    <t>Westover Regional Hospital</t>
  </si>
  <si>
    <t>Loses</t>
  </si>
  <si>
    <t>Calloway Memorial Hospital</t>
  </si>
  <si>
    <t>Varden Surgical Hospital</t>
  </si>
  <si>
    <t>Mercy Valley Medical Center</t>
  </si>
  <si>
    <t>Northgate Community Hospital</t>
  </si>
  <si>
    <t>Tamsin General Hospital</t>
  </si>
  <si>
    <t>Pinecrest Hospital</t>
  </si>
  <si>
    <t>Brannock Medical Center</t>
  </si>
  <si>
    <t>Lakeshore Hospital</t>
  </si>
  <si>
    <t>Corbel Falls Hospital</t>
  </si>
  <si>
    <t>Quayside Hospital</t>
  </si>
  <si>
    <t>Marlow Ridge Medical Center</t>
  </si>
  <si>
    <t>Fairhaven Community Hospital</t>
  </si>
  <si>
    <t>Network</t>
  </si>
  <si>
    <t>A hospital loses the bonus when its mortality ratio, deaths over expected deaths, exceeds 1.15 (specification 5.2). Rows shaded are the hospitals that lose it.</t>
  </si>
  <si>
    <t>The network total at stake is 2 per cent of all fourteen hospitals' payments, rounded once; it equals the sum of the fourteen rounded figures.</t>
  </si>
  <si>
    <t>The linkage's error rates by identifier class, and each hospital's deaths after discharge</t>
  </si>
  <si>
    <t>Identifier class</t>
  </si>
  <si>
    <t>Deaths the bills record</t>
  </si>
  <si>
    <t>of them linked</t>
  </si>
  <si>
    <t>Share linked</t>
  </si>
  <si>
    <t>Members alive after day 30</t>
  </si>
  <si>
    <t>Social Security number on file</t>
  </si>
  <si>
    <t>No number on file, single surname</t>
  </si>
  <si>
    <t>No number on file, two-part surname</t>
  </si>
  <si>
    <t>Deaths the bills record: index admissions whose bill, or a later bill within the 30 days, closed with patient status 20. Alive after day 30: members with a service line, an admission or a live discharge after day 30. Each class's share of recorded deaths linked is the linkage's chance of finding a death; its share of members alive after day 30 linked is its chance of linking a living member to a death.</t>
  </si>
  <si>
    <t>Index admissions neither recorded dead nor seen after day 30</t>
  </si>
  <si>
    <t>Linked</t>
  </si>
  <si>
    <t>Deaths after discharge estimated</t>
  </si>
  <si>
    <t>Estimated deaths in a cell: (linked less the class's false-link share times the admissions) divided by (the class's share of deaths linked less its false-link share).</t>
  </si>
  <si>
    <t>Bonus line</t>
  </si>
  <si>
    <t>Saint Brendan</t>
  </si>
  <si>
    <t>Westover</t>
  </si>
  <si>
    <t>Calloway</t>
  </si>
  <si>
    <t>Varden</t>
  </si>
  <si>
    <t>Mercy Valley</t>
  </si>
  <si>
    <t>Northgate</t>
  </si>
  <si>
    <t>Tamsin General</t>
  </si>
  <si>
    <t>Pinecrest</t>
  </si>
  <si>
    <t>Brannock</t>
  </si>
  <si>
    <t>Lakeshore</t>
  </si>
  <si>
    <t>Corbel Falls</t>
  </si>
  <si>
    <t>Quayside</t>
  </si>
  <si>
    <t>Marlow Ridge</t>
  </si>
  <si>
    <t>Fairhaven</t>
  </si>
  <si>
    <t>Notes</t>
  </si>
  <si>
    <t>Measure: Halbrook Hospital Quality Bonus, contract year 2027, measure specification v1.0 (May 12, 2025).</t>
  </si>
  <si>
    <t>Index admissions: specification 2.1 to 2.4, from Halbrook's inpatient claims (extract of October 5, 2026) and Carrisford Medical Group's inpatient encounters (file of October 6, 2026), each stay as last corrected, voided and deleted bills left out; Mercy Valley's two NPIs both mapped to Mercy Valley.</t>
  </si>
  <si>
    <t>Expected deaths: HIMM 3.2 scores (run of October 2, 2026), summed over each hospital's index admissions.</t>
  </si>
  <si>
    <t>Deaths: deaths the bills and encounters record (patient status 20 on the stay, a transfer stay or a later stay inside the 30 days), plus deaths after discharge estimated from the Office of Vital Records' return of October 7, 2026, corrected class by class for the links that find no death and the deaths no link finds, at the rates the 'Linkage correction' sheet measures on the recorded deaths and on the members seen alive after day 30.</t>
  </si>
  <si>
    <t>Bonus at stake: 2 per cent of the payments Halbrook made for inpatient stays discharged July 1, 2025 to June 30, 2026 (specification 5.3), Carrisford's stays left out. Bills as each system recorded them: a CPS replacement carries the change in payment and adds to its original, a platform replacement carries the stay's full payment and stands in its original's place, a voided bill pays nothing. Added: the additional payments Provider Disputes' log shows made by September 30, 2026 on those stays, except where the payment was the replacement bill itself (paid the same day, its change the additional payment), which the bills already count.</t>
  </si>
  <si>
    <t>Rounding: ratios to two decimals, deaths and expected deaths to one, bonus figures to the nearest $100 from the unrounded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</si>
</sst>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8" x14ac:knownFonts="1">
    <font>
      <sz val="11"/>
      <color theme="1"/>
      <name val="Calibri"/>
      <family val="2"/>
      <scheme val="minor"/>
    </font>
    <font>
      <b/>
      <sz val="13"/>
      <color theme="1"/>
      <name val="Calibri"/>
      <family val="2"/>
      <scheme val="minor"/>
    </font>
    <font>
      <i/>
      <sz val="10"/>
      <color theme="1"/>
      <name val="Calibri"/>
      <family val="2"/>
      <scheme val="minor"/>
    </font>
    <font>
      <b/>
      <sz val="11"/>
      <color theme="1"/>
      <name val="Calibri"/>
      <family val="2"/>
      <scheme val="minor"/>
    </font>
    <font>
      <i/>
      <sz val="9"/>
      <color theme="1"/>
      <name val="Calibri"/>
      <family val="2"/>
      <scheme val="minor"/>
    </font>
    <font>
      <b/>
      <sz val="12"/>
      <color theme="1"/>
      <name val="Calibri"/>
      <family val="2"/>
      <scheme val="minor"/>
    </font>
    <font>
      <b/>
      <sz val="12"/>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DDE5EC"/>
        <bgColor indexed="64"/>
      </patternFill>
    </fill>
    <fill>
      <patternFill patternType="solid">
        <fgColor rgb="FFF6E3E3"/>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2" borderId="1" xfId="0" applyFont="1" applyFill="1" applyAlignment="1">
      <alignment horizontal="left" vertical="center" wrapText="1"/>
    </xf>
    <xf numFmtId="0" fontId="3" fillId="2" borderId="1" xfId="0" applyFont="1" applyFill="1" applyAlignment="1">
      <alignment horizontal="center" vertical="center" wrapText="1"/>
    </xf>
    <xf numFmtId="3" fontId="0" fillId="0" borderId="0" xfId="0" applyNumberFormat="1"/>
    <xf numFmtId="164" fontId="0" fillId="0" borderId="0" xfId="0" applyNumberFormat="1"/>
    <xf numFmtId="2" fontId="0" fillId="0" borderId="0" xfId="0" applyNumberFormat="1"/>
    <xf numFmtId="0" fontId="0" fillId="0" borderId="0" xfId="0" applyAlignment="1">
      <alignment horizontal="center"/>
    </xf>
    <xf numFmtId="165" fontId="0" fillId="0" borderId="0" xfId="0" applyNumberFormat="1"/>
    <xf numFmtId="0" fontId="0" fillId="3" borderId="0" xfId="0" applyFill="1"/>
    <xf numFmtId="3" fontId="0" fillId="3" borderId="0" xfId="0" applyNumberFormat="1" applyFill="1"/>
    <xf numFmtId="164" fontId="0" fillId="3" borderId="0" xfId="0" applyNumberFormat="1" applyFill="1"/>
    <xf numFmtId="2" fontId="0" fillId="3" borderId="0" xfId="0" applyNumberFormat="1" applyFill="1"/>
    <xf numFmtId="0" fontId="0" fillId="3" borderId="0" xfId="0" applyFill="1" applyAlignment="1">
      <alignment horizontal="center"/>
    </xf>
    <xf numFmtId="165" fontId="0" fillId="3" borderId="0" xfId="0" applyNumberFormat="1" applyFill="1"/>
    <xf numFmtId="0" fontId="3" fillId="0" borderId="0" xfId="0" applyFont="1"/>
    <xf numFmtId="3" fontId="3" fillId="0" borderId="0" xfId="0" applyNumberFormat="1" applyFont="1"/>
    <xf numFmtId="164" fontId="3" fillId="0" borderId="0" xfId="0" applyNumberFormat="1" applyFont="1"/>
    <xf numFmtId="165" fontId="3" fillId="0" borderId="0" xfId="0" applyNumberFormat="1" applyFont="1"/>
    <xf numFmtId="0" fontId="4" fillId="0" borderId="0" xfId="0" applyFont="1"/>
    <xf numFmtId="0" fontId="5" fillId="0" borderId="0" xfId="0" applyFont="1"/>
    <xf numFmtId="0" fontId="3" fillId="2" borderId="0" xfId="0" applyFont="1" applyFill="1" applyAlignment="1">
      <alignment vertical="center" wrapText="1"/>
    </xf>
    <xf numFmtId="166" fontId="0" fillId="0" borderId="0" xfId="0" applyNumberFormat="1"/>
    <xf numFmtId="10" fontId="0" fillId="0" borderId="0" xfId="0" applyNumberFormat="1"/>
    <xf numFmtId="0" fontId="0" fillId="0" borderId="0" xfId="0" applyAlignment="1">
      <alignment vertical="top" wrapText="1"/>
    </xf>
    <xf numFmtId="0" fontId="6"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Fiscal 2026 mortality ratio by hospital against the 1.15 bonus line</a:t>
            </a:r>
          </a:p>
        </rich>
      </tx>
    </title>
    <plotArea>
      <barChart>
        <barDir val="col"/>
        <grouping val="clustered"/>
        <ser>
          <idx val="0"/>
          <order val="0"/>
          <tx>
            <strRef>
              <f>'Chart'!B1</f>
            </strRef>
          </tx>
          <spPr>
            <a:solidFill xmlns:a="http://schemas.openxmlformats.org/drawingml/2006/main">
              <a:srgbClr val="7F93A8"/>
            </a:solidFill>
            <a:ln xmlns:a="http://schemas.openxmlformats.org/drawingml/2006/main">
              <a:solidFill>
                <a:srgbClr val="7F93A8"/>
              </a:solidFill>
              <a:prstDash val="solid"/>
            </a:ln>
          </spPr>
          <dPt>
            <idx val="1"/>
            <spPr>
              <a:solidFill xmlns:a="http://schemas.openxmlformats.org/drawingml/2006/main">
                <a:srgbClr val="A23B3B"/>
              </a:solidFill>
              <a:ln xmlns:a="http://schemas.openxmlformats.org/drawingml/2006/main">
                <a:solidFill>
                  <a:srgbClr val="A23B3B"/>
                </a:solidFill>
                <a:prstDash val="solid"/>
              </a:ln>
            </spPr>
          </dPt>
          <dPt>
            <idx val="2"/>
            <spPr>
              <a:solidFill xmlns:a="http://schemas.openxmlformats.org/drawingml/2006/main">
                <a:srgbClr val="A23B3B"/>
              </a:solidFill>
              <a:ln xmlns:a="http://schemas.openxmlformats.org/drawingml/2006/main">
                <a:solidFill>
                  <a:srgbClr val="A23B3B"/>
                </a:solidFill>
                <a:prstDash val="solid"/>
              </a:ln>
            </spPr>
          </dPt>
          <dPt>
            <idx val="4"/>
            <spPr>
              <a:solidFill xmlns:a="http://schemas.openxmlformats.org/drawingml/2006/main">
                <a:srgbClr val="A23B3B"/>
              </a:solidFill>
              <a:ln xmlns:a="http://schemas.openxmlformats.org/drawingml/2006/main">
                <a:solidFill>
                  <a:srgbClr val="A23B3B"/>
                </a:solidFill>
                <a:prstDash val="solid"/>
              </a:ln>
            </spPr>
          </dPt>
          <dPt>
            <idx val="5"/>
            <spPr>
              <a:solidFill xmlns:a="http://schemas.openxmlformats.org/drawingml/2006/main">
                <a:srgbClr val="A23B3B"/>
              </a:solidFill>
              <a:ln xmlns:a="http://schemas.openxmlformats.org/drawingml/2006/main">
                <a:solidFill>
                  <a:srgbClr val="A23B3B"/>
                </a:solidFill>
                <a:prstDash val="solid"/>
              </a:ln>
            </spPr>
          </dPt>
          <dPt>
            <idx val="8"/>
            <spPr>
              <a:solidFill xmlns:a="http://schemas.openxmlformats.org/drawingml/2006/main">
                <a:srgbClr val="A23B3B"/>
              </a:solidFill>
              <a:ln xmlns:a="http://schemas.openxmlformats.org/drawingml/2006/main">
                <a:solidFill>
                  <a:srgbClr val="A23B3B"/>
                </a:solidFill>
                <a:prstDash val="solid"/>
              </a:ln>
            </spPr>
          </dPt>
          <dLbls>
            <numFmt formatCode="0.00"/>
            <showVal val="1"/>
          </dLbls>
          <cat>
            <numRef>
              <f>'Chart'!$A$2:$A$15</f>
            </numRef>
          </cat>
          <val>
            <numRef>
              <f>'Chart'!$B$2:$B$15</f>
            </numRef>
          </val>
        </ser>
        <gapWidth val="150"/>
        <axId val="10"/>
        <axId val="100"/>
      </barChart>
      <lineChart>
        <grouping val="standard"/>
        <ser>
          <idx val="1"/>
          <order val="1"/>
          <tx>
            <strRef>
              <f>'Chart'!C1</f>
            </strRef>
          </tx>
          <spPr>
            <a:ln xmlns:a="http://schemas.openxmlformats.org/drawingml/2006/main" w="19050">
              <a:solidFill>
                <a:srgbClr val="1B1D1F"/>
              </a:solidFill>
              <a:prstDash val="dash"/>
            </a:ln>
          </spPr>
          <marker>
            <symbol val="none"/>
            <spPr>
              <a:ln xmlns:a="http://schemas.openxmlformats.org/drawingml/2006/main">
                <a:prstDash val="solid"/>
              </a:ln>
            </spPr>
          </marker>
          <val>
            <numRef>
              <f>'Chart'!$C$2:$C$15</f>
            </numRef>
          </val>
          <smooth val="0"/>
        </ser>
        <axId val="10"/>
        <axId val="100"/>
      </lineChart>
      <catAx>
        <axId val="10"/>
        <scaling>
          <orientation val="minMax"/>
        </scaling>
        <axPos val="l"/>
        <majorTickMark val="none"/>
        <minorTickMark val="none"/>
        <crossAx val="100"/>
        <lblOffset val="100"/>
      </catAx>
      <valAx>
        <axId val="100"/>
        <scaling>
          <orientation val="minMax"/>
          <max val="1.8"/>
          <min val="0"/>
        </scaling>
        <axPos val="l"/>
        <majorGridlines/>
        <title>
          <tx>
            <rich>
              <a:bodyPr xmlns:a="http://schemas.openxmlformats.org/drawingml/2006/main"/>
              <a:p xmlns:a="http://schemas.openxmlformats.org/drawingml/2006/main">
                <a:pPr>
                  <a:defRPr/>
                </a:pPr>
                <a:r>
                  <a:t>Deaths over expected deaths</a:t>
                </a:r>
              </a:p>
            </rich>
          </tx>
        </title>
        <numFmt formatCode="0.00" sourceLinked="0"/>
        <majorTickMark val="none"/>
        <minorTickMark val="none"/>
        <crossAx val="10"/>
      </valAx>
    </plotArea>
    <legend>
      <legendPos val="b"/>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charts/chart1.xml" Id="rId1"/></Relationships>
</file>

<file path=xl/drawings/drawing1.xml><?xml version="1.0" encoding="utf-8"?>
<wsDr xmlns="http://schemas.openxmlformats.org/drawingml/2006/spreadsheetDrawing">
  <oneCellAnchor>
    <from>
      <col>4</col>
      <colOff>0</colOff>
      <row>1</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Type="http://schemas.openxmlformats.org/officeDocument/2006/relationships/drawing" Target="../drawings/drawing1.xml"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E378-7406-504D-8E0C-C185E752543E}">
  <dimension ref="A1:J22"/>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30.7109375" customWidth="1"/>
    <col min="2" max="2" width="11.7109375" customWidth="1"/>
    <col min="3" max="3" width="10.7109375" customWidth="1"/>
    <col min="4" max="4" width="10.7109375" customWidth="1"/>
    <col min="5" max="5" width="13.7109375" customWidth="1"/>
    <col min="6" max="6" width="9.7109375" customWidth="1"/>
    <col min="7" max="7" width="10.7109375" customWidth="1"/>
    <col min="8" max="8" width="9.7109375" customWidth="1"/>
    <col min="9" max="9" width="17.7109375" customWidth="1"/>
    <col min="10" max="10" width="15.7109375" customWidth="1"/>
  </cols>
  <sheetData>
    <row r="1" spans="1:10" x14ac:dyDescent="0.25">
      <c r="A1" s="1" t="s">
        <v>0</v>
      </c>
    </row>
    <row r="2" spans="1:10" x14ac:dyDescent="0.25">
      <c r="A2" s="2" t="s">
        <v>1</v>
      </c>
    </row>
    <row r="4" spans="1:10" ht="58" customHeight="1" x14ac:dyDescent="0.25">
      <c r="A4" s="3" t="s">
        <v>2</v>
      </c>
      <c r="B4" s="4" t="s">
        <v>3</v>
      </c>
      <c r="C4" s="4" t="s">
        <v>4</v>
      </c>
      <c r="D4" s="4" t="s">
        <v>5</v>
      </c>
      <c r="E4" s="4" t="s">
        <v>6</v>
      </c>
      <c r="F4" s="4" t="s">
        <v>7</v>
      </c>
      <c r="G4" s="4" t="s">
        <v>8</v>
      </c>
      <c r="H4" s="4" t="s">
        <v>9</v>
      </c>
      <c r="I4" s="4" t="s">
        <v>10</v>
      </c>
      <c r="J4" s="4" t="s">
        <v>11</v>
      </c>
    </row>
    <row r="5" spans="1:10" x14ac:dyDescent="0.25">
      <c r="A5" t="s">
        <v>12</v>
      </c>
      <c r="B5" s="5">
        <v>4200</v>
      </c>
      <c r="C5" s="6">
        <v>207.8</v>
      </c>
      <c r="D5" s="5">
        <v>124</v>
      </c>
      <c r="E5" s="6">
        <v>73.40000000000001</v>
      </c>
      <c r="F5" s="6">
        <v>197.4</v>
      </c>
      <c r="G5" s="7">
        <v>0.95</v>
      </c>
      <c r="H5" s="8" t="s">
        <v>13</v>
      </c>
      <c r="I5" s="9">
        <v>39596083.2</v>
      </c>
      <c r="J5" s="9">
        <v>791900</v>
      </c>
    </row>
    <row r="6" spans="1:10" x14ac:dyDescent="0.25">
      <c r="A6" s="10" t="s">
        <v>14</v>
      </c>
      <c r="B6" s="11">
        <v>3300</v>
      </c>
      <c r="C6" s="12">
        <v>179.9</v>
      </c>
      <c r="D6" s="11">
        <v>161</v>
      </c>
      <c r="E6" s="12">
        <v>99.3</v>
      </c>
      <c r="F6" s="12">
        <v>260.3</v>
      </c>
      <c r="G6" s="13">
        <v>1.45</v>
      </c>
      <c r="H6" s="14" t="s">
        <v>15</v>
      </c>
      <c r="I6" s="15">
        <v>40833702.64</v>
      </c>
      <c r="J6" s="15">
        <v>816700</v>
      </c>
    </row>
    <row r="7" spans="1:10" x14ac:dyDescent="0.25">
      <c r="A7" s="10" t="s">
        <v>16</v>
      </c>
      <c r="B7" s="11">
        <v>3000</v>
      </c>
      <c r="C7" s="12">
        <v>143.8</v>
      </c>
      <c r="D7" s="11">
        <v>123</v>
      </c>
      <c r="E7" s="12">
        <v>67.59999999999999</v>
      </c>
      <c r="F7" s="12">
        <v>190.6</v>
      </c>
      <c r="G7" s="13">
        <v>1.33</v>
      </c>
      <c r="H7" s="14" t="s">
        <v>15</v>
      </c>
      <c r="I7" s="15">
        <v>23856580.87</v>
      </c>
      <c r="J7" s="15">
        <v>477100</v>
      </c>
    </row>
    <row r="8" spans="1:10" x14ac:dyDescent="0.25">
      <c r="A8" t="s">
        <v>17</v>
      </c>
      <c r="B8" s="5">
        <v>3000</v>
      </c>
      <c r="C8" s="6">
        <v>25.6</v>
      </c>
      <c r="D8" s="5">
        <v>8</v>
      </c>
      <c r="E8" s="6">
        <v>18.4</v>
      </c>
      <c r="F8" s="6">
        <v>26.4</v>
      </c>
      <c r="G8" s="7">
        <v>1.03</v>
      </c>
      <c r="H8" s="8" t="s">
        <v>13</v>
      </c>
      <c r="I8" s="9">
        <v>41690860.24</v>
      </c>
      <c r="J8" s="9">
        <v>833800</v>
      </c>
    </row>
    <row r="9" spans="1:10" x14ac:dyDescent="0.25">
      <c r="A9" s="10" t="s">
        <v>18</v>
      </c>
      <c r="B9" s="11">
        <v>3600</v>
      </c>
      <c r="C9" s="12">
        <v>387.1</v>
      </c>
      <c r="D9" s="11">
        <v>177</v>
      </c>
      <c r="E9" s="12">
        <v>325.2</v>
      </c>
      <c r="F9" s="12">
        <v>502.2</v>
      </c>
      <c r="G9" s="13">
        <v>1.3</v>
      </c>
      <c r="H9" s="14" t="s">
        <v>15</v>
      </c>
      <c r="I9" s="15">
        <v>28983943.84</v>
      </c>
      <c r="J9" s="15">
        <v>579700</v>
      </c>
    </row>
    <row r="10" spans="1:10" x14ac:dyDescent="0.25">
      <c r="A10" s="10" t="s">
        <v>19</v>
      </c>
      <c r="B10" s="11">
        <v>2400</v>
      </c>
      <c r="C10" s="12">
        <v>122.2</v>
      </c>
      <c r="D10" s="11">
        <v>118</v>
      </c>
      <c r="E10" s="12">
        <v>71.3</v>
      </c>
      <c r="F10" s="12">
        <v>189.3</v>
      </c>
      <c r="G10" s="13">
        <v>1.55</v>
      </c>
      <c r="H10" s="14" t="s">
        <v>15</v>
      </c>
      <c r="I10" s="15">
        <v>27974055.99</v>
      </c>
      <c r="J10" s="15">
        <v>559500</v>
      </c>
    </row>
    <row r="11" spans="1:10" x14ac:dyDescent="0.25">
      <c r="A11" t="s">
        <v>20</v>
      </c>
      <c r="B11" s="5">
        <v>2200</v>
      </c>
      <c r="C11" s="6">
        <v>103.4</v>
      </c>
      <c r="D11" s="5">
        <v>51</v>
      </c>
      <c r="E11" s="6">
        <v>47.4</v>
      </c>
      <c r="F11" s="6">
        <v>98.40000000000001</v>
      </c>
      <c r="G11" s="7">
        <v>0.95</v>
      </c>
      <c r="H11" s="8" t="s">
        <v>13</v>
      </c>
      <c r="I11" s="9">
        <v>19476744.76</v>
      </c>
      <c r="J11" s="9">
        <v>389500</v>
      </c>
    </row>
    <row r="12" spans="1:10" x14ac:dyDescent="0.25">
      <c r="A12" t="s">
        <v>21</v>
      </c>
      <c r="B12" s="5">
        <v>1900</v>
      </c>
      <c r="C12" s="6">
        <v>95</v>
      </c>
      <c r="D12" s="5">
        <v>40</v>
      </c>
      <c r="E12" s="6">
        <v>31.5</v>
      </c>
      <c r="F12" s="6">
        <v>71.5</v>
      </c>
      <c r="G12" s="7">
        <v>0.75</v>
      </c>
      <c r="H12" s="8" t="s">
        <v>13</v>
      </c>
      <c r="I12" s="9">
        <v>20611085.86</v>
      </c>
      <c r="J12" s="9">
        <v>412200</v>
      </c>
    </row>
    <row r="13" spans="1:10" x14ac:dyDescent="0.25">
      <c r="A13" s="10" t="s">
        <v>22</v>
      </c>
      <c r="B13" s="11">
        <v>2300</v>
      </c>
      <c r="C13" s="12">
        <v>67.90000000000001</v>
      </c>
      <c r="D13" s="11">
        <v>23</v>
      </c>
      <c r="E13" s="12">
        <v>61.9</v>
      </c>
      <c r="F13" s="12">
        <v>84.90000000000001</v>
      </c>
      <c r="G13" s="13">
        <v>1.25</v>
      </c>
      <c r="H13" s="14" t="s">
        <v>15</v>
      </c>
      <c r="I13" s="15">
        <v>19588378.31</v>
      </c>
      <c r="J13" s="15">
        <v>391800</v>
      </c>
    </row>
    <row r="14" spans="1:10" x14ac:dyDescent="0.25">
      <c r="A14" t="s">
        <v>23</v>
      </c>
      <c r="B14" s="5">
        <v>1700</v>
      </c>
      <c r="C14" s="6">
        <v>85.7</v>
      </c>
      <c r="D14" s="5">
        <v>44</v>
      </c>
      <c r="E14" s="6">
        <v>22</v>
      </c>
      <c r="F14" s="6">
        <v>66</v>
      </c>
      <c r="G14" s="7">
        <v>0.77</v>
      </c>
      <c r="H14" s="8" t="s">
        <v>13</v>
      </c>
      <c r="I14" s="9">
        <v>18346003.31</v>
      </c>
      <c r="J14" s="9">
        <v>366900</v>
      </c>
    </row>
    <row r="15" spans="1:10" x14ac:dyDescent="0.25">
      <c r="A15" t="s">
        <v>24</v>
      </c>
      <c r="B15" s="5">
        <v>1500</v>
      </c>
      <c r="C15" s="6">
        <v>82.8</v>
      </c>
      <c r="D15" s="5">
        <v>30</v>
      </c>
      <c r="E15" s="6">
        <v>25.6</v>
      </c>
      <c r="F15" s="6">
        <v>55.6</v>
      </c>
      <c r="G15" s="7">
        <v>0.67</v>
      </c>
      <c r="H15" s="8" t="s">
        <v>13</v>
      </c>
      <c r="I15" s="9">
        <v>15718795.23</v>
      </c>
      <c r="J15" s="9">
        <v>314400</v>
      </c>
    </row>
    <row r="16" spans="1:10" x14ac:dyDescent="0.25">
      <c r="A16" t="s">
        <v>25</v>
      </c>
      <c r="B16" s="5">
        <v>3000</v>
      </c>
      <c r="C16" s="6">
        <v>103.4</v>
      </c>
      <c r="D16" s="5">
        <v>60</v>
      </c>
      <c r="E16" s="6">
        <v>38.3</v>
      </c>
      <c r="F16" s="6">
        <v>98.3</v>
      </c>
      <c r="G16" s="7">
        <v>0.95</v>
      </c>
      <c r="H16" s="8" t="s">
        <v>13</v>
      </c>
      <c r="I16" s="9">
        <v>29963777.37</v>
      </c>
      <c r="J16" s="9">
        <v>599300</v>
      </c>
    </row>
    <row r="17" spans="1:10" x14ac:dyDescent="0.25">
      <c r="A17" t="s">
        <v>26</v>
      </c>
      <c r="B17" s="5">
        <v>1300</v>
      </c>
      <c r="C17" s="6">
        <v>79.09999999999999</v>
      </c>
      <c r="D17" s="5">
        <v>47</v>
      </c>
      <c r="E17" s="6">
        <v>21.7</v>
      </c>
      <c r="F17" s="6">
        <v>68.7</v>
      </c>
      <c r="G17" s="7">
        <v>0.87</v>
      </c>
      <c r="H17" s="8" t="s">
        <v>13</v>
      </c>
      <c r="I17" s="9">
        <v>14655792.9</v>
      </c>
      <c r="J17" s="9">
        <v>293100</v>
      </c>
    </row>
    <row r="18" spans="1:10" x14ac:dyDescent="0.25">
      <c r="A18" t="s">
        <v>27</v>
      </c>
      <c r="B18" s="5">
        <v>1100</v>
      </c>
      <c r="C18" s="6">
        <v>52.7</v>
      </c>
      <c r="D18" s="5">
        <v>40</v>
      </c>
      <c r="E18" s="6">
        <v>17.5</v>
      </c>
      <c r="F18" s="6">
        <v>57.5</v>
      </c>
      <c r="G18" s="7">
        <v>1.09</v>
      </c>
      <c r="H18" s="8" t="s">
        <v>13</v>
      </c>
      <c r="I18" s="9">
        <v>12369141.23</v>
      </c>
      <c r="J18" s="9">
        <v>247400</v>
      </c>
    </row>
    <row r="19" spans="1:10" x14ac:dyDescent="0.25">
      <c r="A19" s="16" t="s">
        <v>28</v>
      </c>
      <c r="B19" s="17">
        <v>34500</v>
      </c>
      <c r="C19" s="18">
        <v>1736.4</v>
      </c>
      <c r="D19" s="17">
        <v>1046</v>
      </c>
      <c r="I19" s="19">
        <v>353664945.75</v>
      </c>
      <c r="J19" s="19">
        <v>7073300</v>
      </c>
    </row>
    <row r="21" spans="1:10" x14ac:dyDescent="0.25">
      <c r="A21" s="20" t="s">
        <v>29</v>
      </c>
    </row>
    <row r="22" spans="1:10" x14ac:dyDescent="0.25">
      <c r="A22" s="20"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6E60-5C5B-5CB8-A4E3-2C7AEBD76A1E}">
  <dimension ref="A1:G54"/>
  <sheetViews>
    <sheetView workbookViewId="0">
      <pane ySplit="3" topLeftCell="A4" activePane="bottomLeft" state="frozen"/>
      <selection pane="bottomLeft" activeCell="A1" sqref="A1"/>
    </sheetView>
  </sheetViews>
  <sheetFormatPr defaultRowHeight="15" x14ac:dyDescent="0.25"/>
  <cols>
    <col min="1" max="1" width="30.7109375" customWidth="1"/>
    <col min="2" max="2" width="34.7109375" customWidth="1"/>
    <col min="3" max="3" width="22.7109375" customWidth="1"/>
    <col min="4" max="4" width="12.7109375" customWidth="1"/>
    <col min="5" max="5" width="22.7109375" customWidth="1"/>
    <col min="6" max="6" width="16.7109375" customWidth="1"/>
    <col min="7" max="7" width="12.7109375" customWidth="1"/>
  </cols>
  <sheetData>
    <row r="1" spans="1:7" x14ac:dyDescent="0.25">
      <c r="A1" s="21" t="s">
        <v>31</v>
      </c>
    </row>
    <row r="3" spans="1:7" ht="32" customHeight="1" x14ac:dyDescent="0.25">
      <c r="A3" s="22" t="s">
        <v>32</v>
      </c>
      <c r="B3" s="22" t="s">
        <v>33</v>
      </c>
      <c r="C3" s="22" t="s">
        <v>34</v>
      </c>
      <c r="D3" s="22" t="s">
        <v>35</v>
      </c>
      <c r="E3" s="22" t="s">
        <v>36</v>
      </c>
      <c r="F3" s="22" t="s">
        <v>34</v>
      </c>
      <c r="G3" s="22" t="s">
        <v>35</v>
      </c>
    </row>
    <row r="4" spans="1:7" x14ac:dyDescent="0.25">
      <c r="A4" t="s">
        <v>37</v>
      </c>
      <c r="B4">
        <v>836</v>
      </c>
      <c r="C4">
        <v>829</v>
      </c>
      <c r="D4" s="23">
        <v>0.9916267942583732</v>
      </c>
      <c r="E4">
        <v>21855</v>
      </c>
      <c r="F4">
        <v>12</v>
      </c>
      <c r="G4" s="24">
        <v>0.000549073438572409</v>
      </c>
    </row>
    <row r="5" spans="1:7" x14ac:dyDescent="0.25">
      <c r="A5" t="s">
        <v>38</v>
      </c>
      <c r="B5">
        <v>48</v>
      </c>
      <c r="C5">
        <v>44</v>
      </c>
      <c r="D5" s="23">
        <v>0.9166666666666666</v>
      </c>
      <c r="E5">
        <v>1179</v>
      </c>
      <c r="F5">
        <v>20</v>
      </c>
      <c r="G5" s="24">
        <v>0.01696352841391009</v>
      </c>
    </row>
    <row r="6" spans="1:7" x14ac:dyDescent="0.25">
      <c r="A6" t="s">
        <v>39</v>
      </c>
      <c r="B6">
        <v>162</v>
      </c>
      <c r="C6">
        <v>78</v>
      </c>
      <c r="D6" s="23">
        <v>0.4814814814814815</v>
      </c>
      <c r="E6">
        <v>1554</v>
      </c>
      <c r="F6">
        <v>8</v>
      </c>
      <c r="G6" s="24">
        <v>0.005148005148005148</v>
      </c>
    </row>
    <row r="8" spans="1:7" ht="54" customHeight="1" x14ac:dyDescent="0.25">
      <c r="A8" s="25" t="s">
        <v>40</v>
      </c>
    </row>
    <row r="10" spans="1:7" ht="44" customHeight="1" x14ac:dyDescent="0.25">
      <c r="A10" s="22" t="s">
        <v>2</v>
      </c>
      <c r="B10" s="22" t="s">
        <v>32</v>
      </c>
      <c r="C10" s="22" t="s">
        <v>41</v>
      </c>
      <c r="D10" s="22" t="s">
        <v>42</v>
      </c>
      <c r="E10" s="22" t="s">
        <v>43</v>
      </c>
    </row>
    <row r="11" spans="1:7" x14ac:dyDescent="0.25">
      <c r="A11" t="s">
        <v>12</v>
      </c>
      <c r="B11" t="s">
        <v>37</v>
      </c>
      <c r="C11">
        <v>687</v>
      </c>
      <c r="D11">
        <v>68</v>
      </c>
      <c r="E11" s="7">
        <v>68.23</v>
      </c>
    </row>
    <row r="12" spans="1:7" x14ac:dyDescent="0.25">
      <c r="A12" t="s">
        <v>12</v>
      </c>
      <c r="B12" t="s">
        <v>38</v>
      </c>
      <c r="C12">
        <v>92</v>
      </c>
      <c r="D12">
        <v>3</v>
      </c>
      <c r="E12" s="7">
        <v>1.6</v>
      </c>
    </row>
    <row r="13" spans="1:7" x14ac:dyDescent="0.25">
      <c r="A13" t="s">
        <v>12</v>
      </c>
      <c r="B13" t="s">
        <v>39</v>
      </c>
      <c r="C13">
        <v>59</v>
      </c>
      <c r="D13">
        <v>2</v>
      </c>
      <c r="E13" s="7">
        <v>3.56</v>
      </c>
    </row>
    <row r="14" spans="1:7" x14ac:dyDescent="0.25">
      <c r="A14" t="s">
        <v>14</v>
      </c>
      <c r="B14" t="s">
        <v>37</v>
      </c>
      <c r="C14">
        <v>551</v>
      </c>
      <c r="D14">
        <v>93</v>
      </c>
      <c r="E14" s="7">
        <v>93.53</v>
      </c>
    </row>
    <row r="15" spans="1:7" x14ac:dyDescent="0.25">
      <c r="A15" t="s">
        <v>14</v>
      </c>
      <c r="B15" t="s">
        <v>38</v>
      </c>
      <c r="C15">
        <v>51</v>
      </c>
      <c r="D15">
        <v>1</v>
      </c>
      <c r="E15" s="7">
        <v>0.15</v>
      </c>
    </row>
    <row r="16" spans="1:7" x14ac:dyDescent="0.25">
      <c r="A16" t="s">
        <v>14</v>
      </c>
      <c r="B16" t="s">
        <v>39</v>
      </c>
      <c r="C16">
        <v>63</v>
      </c>
      <c r="D16">
        <v>3</v>
      </c>
      <c r="E16" s="7">
        <v>5.62</v>
      </c>
    </row>
    <row r="17" spans="1:5" x14ac:dyDescent="0.25">
      <c r="A17" t="s">
        <v>16</v>
      </c>
      <c r="B17" t="s">
        <v>37</v>
      </c>
      <c r="C17">
        <v>469</v>
      </c>
      <c r="D17">
        <v>63</v>
      </c>
      <c r="E17" s="7">
        <v>63.31</v>
      </c>
    </row>
    <row r="18" spans="1:5" x14ac:dyDescent="0.25">
      <c r="A18" t="s">
        <v>16</v>
      </c>
      <c r="B18" t="s">
        <v>38</v>
      </c>
      <c r="C18">
        <v>20</v>
      </c>
      <c r="D18">
        <v>1</v>
      </c>
      <c r="E18" s="7">
        <v>0.73</v>
      </c>
    </row>
    <row r="19" spans="1:5" x14ac:dyDescent="0.25">
      <c r="A19" t="s">
        <v>16</v>
      </c>
      <c r="B19" t="s">
        <v>39</v>
      </c>
      <c r="C19">
        <v>61</v>
      </c>
      <c r="D19">
        <v>2</v>
      </c>
      <c r="E19" s="7">
        <v>3.54</v>
      </c>
    </row>
    <row r="20" spans="1:5" x14ac:dyDescent="0.25">
      <c r="A20" t="s">
        <v>17</v>
      </c>
      <c r="B20" t="s">
        <v>37</v>
      </c>
      <c r="C20">
        <v>250</v>
      </c>
      <c r="D20">
        <v>3</v>
      </c>
      <c r="E20" s="7">
        <v>2.89</v>
      </c>
    </row>
    <row r="21" spans="1:5" x14ac:dyDescent="0.25">
      <c r="A21" t="s">
        <v>17</v>
      </c>
      <c r="B21" t="s">
        <v>38</v>
      </c>
      <c r="C21">
        <v>927</v>
      </c>
      <c r="D21">
        <v>28</v>
      </c>
      <c r="E21" s="7">
        <v>13.64</v>
      </c>
    </row>
    <row r="22" spans="1:5" x14ac:dyDescent="0.25">
      <c r="A22" t="s">
        <v>17</v>
      </c>
      <c r="B22" t="s">
        <v>39</v>
      </c>
      <c r="C22">
        <v>25</v>
      </c>
      <c r="D22">
        <v>1</v>
      </c>
      <c r="E22" s="7">
        <v>1.83</v>
      </c>
    </row>
    <row r="23" spans="1:5" x14ac:dyDescent="0.25">
      <c r="A23" t="s">
        <v>18</v>
      </c>
      <c r="B23" t="s">
        <v>37</v>
      </c>
      <c r="C23">
        <v>399</v>
      </c>
      <c r="D23">
        <v>130</v>
      </c>
      <c r="E23" s="7">
        <v>130.95</v>
      </c>
    </row>
    <row r="24" spans="1:5" x14ac:dyDescent="0.25">
      <c r="A24" t="s">
        <v>18</v>
      </c>
      <c r="B24" t="s">
        <v>38</v>
      </c>
      <c r="C24">
        <v>60</v>
      </c>
      <c r="D24">
        <v>5</v>
      </c>
      <c r="E24" s="7">
        <v>4.43</v>
      </c>
    </row>
    <row r="25" spans="1:5" x14ac:dyDescent="0.25">
      <c r="A25" t="s">
        <v>18</v>
      </c>
      <c r="B25" t="s">
        <v>39</v>
      </c>
      <c r="C25">
        <v>887</v>
      </c>
      <c r="D25">
        <v>95</v>
      </c>
      <c r="E25" s="7">
        <v>189.85</v>
      </c>
    </row>
    <row r="26" spans="1:5" x14ac:dyDescent="0.25">
      <c r="A26" t="s">
        <v>19</v>
      </c>
      <c r="B26" t="s">
        <v>37</v>
      </c>
      <c r="C26">
        <v>365</v>
      </c>
      <c r="D26">
        <v>62</v>
      </c>
      <c r="E26" s="7">
        <v>62.36</v>
      </c>
    </row>
    <row r="27" spans="1:5" x14ac:dyDescent="0.25">
      <c r="A27" t="s">
        <v>19</v>
      </c>
      <c r="B27" t="s">
        <v>38</v>
      </c>
      <c r="C27">
        <v>65</v>
      </c>
      <c r="D27">
        <v>4</v>
      </c>
      <c r="E27" s="7">
        <v>3.22</v>
      </c>
    </row>
    <row r="28" spans="1:5" x14ac:dyDescent="0.25">
      <c r="A28" t="s">
        <v>19</v>
      </c>
      <c r="B28" t="s">
        <v>39</v>
      </c>
      <c r="C28">
        <v>55</v>
      </c>
      <c r="D28">
        <v>3</v>
      </c>
      <c r="E28" s="7">
        <v>5.7</v>
      </c>
    </row>
    <row r="29" spans="1:5" x14ac:dyDescent="0.25">
      <c r="A29" t="s">
        <v>20</v>
      </c>
      <c r="B29" t="s">
        <v>37</v>
      </c>
      <c r="C29">
        <v>344</v>
      </c>
      <c r="D29">
        <v>43</v>
      </c>
      <c r="E29" s="7">
        <v>43.2</v>
      </c>
    </row>
    <row r="30" spans="1:5" x14ac:dyDescent="0.25">
      <c r="A30" t="s">
        <v>20</v>
      </c>
      <c r="B30" t="s">
        <v>38</v>
      </c>
      <c r="C30">
        <v>48</v>
      </c>
      <c r="D30">
        <v>3</v>
      </c>
      <c r="E30" s="7">
        <v>2.43</v>
      </c>
    </row>
    <row r="31" spans="1:5" x14ac:dyDescent="0.25">
      <c r="A31" t="s">
        <v>20</v>
      </c>
      <c r="B31" t="s">
        <v>39</v>
      </c>
      <c r="C31">
        <v>27</v>
      </c>
      <c r="D31">
        <v>1</v>
      </c>
      <c r="E31" s="7">
        <v>1.81</v>
      </c>
    </row>
    <row r="32" spans="1:5" x14ac:dyDescent="0.25">
      <c r="A32" t="s">
        <v>21</v>
      </c>
      <c r="B32" t="s">
        <v>37</v>
      </c>
      <c r="C32">
        <v>268</v>
      </c>
      <c r="D32">
        <v>25</v>
      </c>
      <c r="E32" s="7">
        <v>25.08</v>
      </c>
    </row>
    <row r="33" spans="1:5" x14ac:dyDescent="0.25">
      <c r="A33" t="s">
        <v>21</v>
      </c>
      <c r="B33" t="s">
        <v>38</v>
      </c>
      <c r="C33">
        <v>126</v>
      </c>
      <c r="D33">
        <v>5</v>
      </c>
      <c r="E33" s="7">
        <v>3.18</v>
      </c>
    </row>
    <row r="34" spans="1:5" x14ac:dyDescent="0.25">
      <c r="A34" t="s">
        <v>21</v>
      </c>
      <c r="B34" t="s">
        <v>39</v>
      </c>
      <c r="C34">
        <v>85</v>
      </c>
      <c r="D34">
        <v>2</v>
      </c>
      <c r="E34" s="7">
        <v>3.28</v>
      </c>
    </row>
    <row r="35" spans="1:5" x14ac:dyDescent="0.25">
      <c r="A35" t="s">
        <v>22</v>
      </c>
      <c r="B35" t="s">
        <v>37</v>
      </c>
      <c r="C35">
        <v>239</v>
      </c>
      <c r="D35">
        <v>26</v>
      </c>
      <c r="E35" s="7">
        <v>26.1</v>
      </c>
    </row>
    <row r="36" spans="1:5" x14ac:dyDescent="0.25">
      <c r="A36" t="s">
        <v>22</v>
      </c>
      <c r="B36" t="s">
        <v>38</v>
      </c>
      <c r="C36">
        <v>42</v>
      </c>
      <c r="D36">
        <v>2</v>
      </c>
      <c r="E36" s="7">
        <v>1.43</v>
      </c>
    </row>
    <row r="37" spans="1:5" x14ac:dyDescent="0.25">
      <c r="A37" t="s">
        <v>22</v>
      </c>
      <c r="B37" t="s">
        <v>39</v>
      </c>
      <c r="C37">
        <v>510</v>
      </c>
      <c r="D37">
        <v>19</v>
      </c>
      <c r="E37" s="7">
        <v>34.38</v>
      </c>
    </row>
    <row r="38" spans="1:5" x14ac:dyDescent="0.25">
      <c r="A38" t="s">
        <v>23</v>
      </c>
      <c r="B38" t="s">
        <v>37</v>
      </c>
      <c r="C38">
        <v>265</v>
      </c>
      <c r="D38">
        <v>20</v>
      </c>
      <c r="E38" s="7">
        <v>20.03</v>
      </c>
    </row>
    <row r="39" spans="1:5" x14ac:dyDescent="0.25">
      <c r="A39" t="s">
        <v>23</v>
      </c>
      <c r="B39" t="s">
        <v>38</v>
      </c>
      <c r="C39">
        <v>43</v>
      </c>
      <c r="D39">
        <v>1</v>
      </c>
      <c r="E39" s="7">
        <v>0.3</v>
      </c>
    </row>
    <row r="40" spans="1:5" x14ac:dyDescent="0.25">
      <c r="A40" t="s">
        <v>23</v>
      </c>
      <c r="B40" t="s">
        <v>39</v>
      </c>
      <c r="C40">
        <v>36</v>
      </c>
      <c r="D40">
        <v>1</v>
      </c>
      <c r="E40" s="7">
        <v>1.71</v>
      </c>
    </row>
    <row r="41" spans="1:5" x14ac:dyDescent="0.25">
      <c r="A41" t="s">
        <v>24</v>
      </c>
      <c r="B41" t="s">
        <v>37</v>
      </c>
      <c r="C41">
        <v>226</v>
      </c>
      <c r="D41">
        <v>23</v>
      </c>
      <c r="E41" s="7">
        <v>23.08</v>
      </c>
    </row>
    <row r="42" spans="1:5" x14ac:dyDescent="0.25">
      <c r="A42" t="s">
        <v>24</v>
      </c>
      <c r="B42" t="s">
        <v>38</v>
      </c>
      <c r="C42">
        <v>32</v>
      </c>
      <c r="D42">
        <v>1</v>
      </c>
      <c r="E42" s="7">
        <v>0.51</v>
      </c>
    </row>
    <row r="43" spans="1:5" x14ac:dyDescent="0.25">
      <c r="A43" t="s">
        <v>24</v>
      </c>
      <c r="B43" t="s">
        <v>39</v>
      </c>
      <c r="C43">
        <v>12</v>
      </c>
      <c r="D43">
        <v>1</v>
      </c>
      <c r="E43" s="7">
        <v>1.97</v>
      </c>
    </row>
    <row r="44" spans="1:5" x14ac:dyDescent="0.25">
      <c r="A44" t="s">
        <v>25</v>
      </c>
      <c r="B44" t="s">
        <v>37</v>
      </c>
      <c r="C44">
        <v>320</v>
      </c>
      <c r="D44">
        <v>24</v>
      </c>
      <c r="E44" s="7">
        <v>24.04</v>
      </c>
    </row>
    <row r="45" spans="1:5" x14ac:dyDescent="0.25">
      <c r="A45" t="s">
        <v>25</v>
      </c>
      <c r="B45" t="s">
        <v>38</v>
      </c>
      <c r="C45">
        <v>681</v>
      </c>
      <c r="D45">
        <v>21</v>
      </c>
      <c r="E45" s="7">
        <v>10.5</v>
      </c>
    </row>
    <row r="46" spans="1:5" x14ac:dyDescent="0.25">
      <c r="A46" t="s">
        <v>25</v>
      </c>
      <c r="B46" t="s">
        <v>39</v>
      </c>
      <c r="C46">
        <v>40</v>
      </c>
      <c r="D46">
        <v>2</v>
      </c>
      <c r="E46" s="7">
        <v>3.77</v>
      </c>
    </row>
    <row r="47" spans="1:5" x14ac:dyDescent="0.25">
      <c r="A47" t="s">
        <v>26</v>
      </c>
      <c r="B47" t="s">
        <v>37</v>
      </c>
      <c r="C47">
        <v>180</v>
      </c>
      <c r="D47">
        <v>18</v>
      </c>
      <c r="E47" s="7">
        <v>18.06</v>
      </c>
    </row>
    <row r="48" spans="1:5" x14ac:dyDescent="0.25">
      <c r="A48" t="s">
        <v>26</v>
      </c>
      <c r="B48" t="s">
        <v>38</v>
      </c>
      <c r="C48">
        <v>28</v>
      </c>
      <c r="D48">
        <v>2</v>
      </c>
      <c r="E48" s="7">
        <v>1.7</v>
      </c>
    </row>
    <row r="49" spans="1:5" x14ac:dyDescent="0.25">
      <c r="A49" t="s">
        <v>26</v>
      </c>
      <c r="B49" t="s">
        <v>39</v>
      </c>
      <c r="C49">
        <v>18</v>
      </c>
      <c r="D49">
        <v>1</v>
      </c>
      <c r="E49" s="7">
        <v>1.9</v>
      </c>
    </row>
    <row r="50" spans="1:5" x14ac:dyDescent="0.25">
      <c r="A50" t="s">
        <v>27</v>
      </c>
      <c r="B50" t="s">
        <v>37</v>
      </c>
      <c r="C50">
        <v>159</v>
      </c>
      <c r="D50">
        <v>15</v>
      </c>
      <c r="E50" s="7">
        <v>15.05</v>
      </c>
    </row>
    <row r="51" spans="1:5" x14ac:dyDescent="0.25">
      <c r="A51" t="s">
        <v>27</v>
      </c>
      <c r="B51" t="s">
        <v>38</v>
      </c>
      <c r="C51">
        <v>25</v>
      </c>
      <c r="D51">
        <v>1</v>
      </c>
      <c r="E51" s="7">
        <v>0.64</v>
      </c>
    </row>
    <row r="52" spans="1:5" x14ac:dyDescent="0.25">
      <c r="A52" t="s">
        <v>27</v>
      </c>
      <c r="B52" t="s">
        <v>39</v>
      </c>
      <c r="C52">
        <v>26</v>
      </c>
      <c r="D52">
        <v>1</v>
      </c>
      <c r="E52" s="7">
        <v>1.82</v>
      </c>
    </row>
    <row r="54" spans="1:5" x14ac:dyDescent="0.25">
      <c r="A54" t="s">
        <v>44</v>
      </c>
    </row>
  </sheetData>
  <mergeCells count="1">
    <mergeCell ref="A8:G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900F-0470-57B4-960B-98025F288BF0}">
  <dimension ref="A1:C15"/>
  <sheetViews>
    <sheetView workbookViewId="0">
      <selection activeCell="A1" sqref="A1"/>
    </sheetView>
  </sheetViews>
  <sheetFormatPr defaultRowHeight="15" x14ac:dyDescent="0.25"/>
  <cols>
    <col min="1" max="1" width="16.7109375" customWidth="1"/>
    <col min="2" max="2" width="15.7109375" customWidth="1"/>
    <col min="3" max="3" width="11.7109375" customWidth="1"/>
  </cols>
  <sheetData>
    <row r="1" spans="1:3" x14ac:dyDescent="0.25">
      <c r="A1" t="s">
        <v>2</v>
      </c>
      <c r="B1" t="s">
        <v>8</v>
      </c>
      <c r="C1" t="s">
        <v>45</v>
      </c>
    </row>
    <row r="2" spans="1:3" x14ac:dyDescent="0.25">
      <c r="A2" t="s">
        <v>46</v>
      </c>
      <c r="B2" s="7">
        <v>0.95</v>
      </c>
      <c r="C2" s="7">
        <v>1.15</v>
      </c>
    </row>
    <row r="3" spans="1:3" x14ac:dyDescent="0.25">
      <c r="A3" t="s">
        <v>47</v>
      </c>
      <c r="B3" s="7">
        <v>1.45</v>
      </c>
      <c r="C3" s="7">
        <v>1.15</v>
      </c>
    </row>
    <row r="4" spans="1:3" x14ac:dyDescent="0.25">
      <c r="A4" t="s">
        <v>48</v>
      </c>
      <c r="B4" s="7">
        <v>1.33</v>
      </c>
      <c r="C4" s="7">
        <v>1.15</v>
      </c>
    </row>
    <row r="5" spans="1:3" x14ac:dyDescent="0.25">
      <c r="A5" t="s">
        <v>49</v>
      </c>
      <c r="B5" s="7">
        <v>1.03</v>
      </c>
      <c r="C5" s="7">
        <v>1.15</v>
      </c>
    </row>
    <row r="6" spans="1:3" x14ac:dyDescent="0.25">
      <c r="A6" t="s">
        <v>50</v>
      </c>
      <c r="B6" s="7">
        <v>1.3</v>
      </c>
      <c r="C6" s="7">
        <v>1.15</v>
      </c>
    </row>
    <row r="7" spans="1:3" x14ac:dyDescent="0.25">
      <c r="A7" t="s">
        <v>51</v>
      </c>
      <c r="B7" s="7">
        <v>1.55</v>
      </c>
      <c r="C7" s="7">
        <v>1.15</v>
      </c>
    </row>
    <row r="8" spans="1:3" x14ac:dyDescent="0.25">
      <c r="A8" t="s">
        <v>52</v>
      </c>
      <c r="B8" s="7">
        <v>0.95</v>
      </c>
      <c r="C8" s="7">
        <v>1.15</v>
      </c>
    </row>
    <row r="9" spans="1:3" x14ac:dyDescent="0.25">
      <c r="A9" t="s">
        <v>53</v>
      </c>
      <c r="B9" s="7">
        <v>0.75</v>
      </c>
      <c r="C9" s="7">
        <v>1.15</v>
      </c>
    </row>
    <row r="10" spans="1:3" x14ac:dyDescent="0.25">
      <c r="A10" t="s">
        <v>54</v>
      </c>
      <c r="B10" s="7">
        <v>1.25</v>
      </c>
      <c r="C10" s="7">
        <v>1.15</v>
      </c>
    </row>
    <row r="11" spans="1:3" x14ac:dyDescent="0.25">
      <c r="A11" t="s">
        <v>55</v>
      </c>
      <c r="B11" s="7">
        <v>0.77</v>
      </c>
      <c r="C11" s="7">
        <v>1.15</v>
      </c>
    </row>
    <row r="12" spans="1:3" x14ac:dyDescent="0.25">
      <c r="A12" t="s">
        <v>56</v>
      </c>
      <c r="B12" s="7">
        <v>0.67</v>
      </c>
      <c r="C12" s="7">
        <v>1.15</v>
      </c>
    </row>
    <row r="13" spans="1:3" x14ac:dyDescent="0.25">
      <c r="A13" t="s">
        <v>57</v>
      </c>
      <c r="B13" s="7">
        <v>0.95</v>
      </c>
      <c r="C13" s="7">
        <v>1.15</v>
      </c>
    </row>
    <row r="14" spans="1:3" x14ac:dyDescent="0.25">
      <c r="A14" t="s">
        <v>58</v>
      </c>
      <c r="B14" s="7">
        <v>0.87</v>
      </c>
      <c r="C14" s="7">
        <v>1.15</v>
      </c>
    </row>
    <row r="15" spans="1:3" x14ac:dyDescent="0.25">
      <c r="A15" t="s">
        <v>59</v>
      </c>
      <c r="B15" s="7">
        <v>1.09</v>
      </c>
      <c r="C15" s="7">
        <v>1.15</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BFC9-30BE-56D6-A612-5CE09BDC4D44}">
  <dimension ref="A1:A7"/>
  <sheetViews>
    <sheetView workbookViewId="0">
      <selection activeCell="A1" sqref="A1"/>
    </sheetView>
  </sheetViews>
  <sheetFormatPr defaultRowHeight="15" x14ac:dyDescent="0.25"/>
  <cols>
    <col min="1" max="1" width="120.7109375" customWidth="1"/>
  </cols>
  <sheetData>
    <row r="1" spans="1:1" x14ac:dyDescent="0.25">
      <c r="A1" s="26" t="s">
        <v>60</v>
      </c>
    </row>
    <row r="2" spans="1:1" x14ac:dyDescent="0.25">
      <c r="A2" s="27" t="s">
        <v>61</v>
      </c>
    </row>
    <row r="3" spans="1:1" x14ac:dyDescent="0.25">
      <c r="A3" s="27" t="s">
        <v>62</v>
      </c>
    </row>
    <row r="4" spans="1:1" x14ac:dyDescent="0.25">
      <c r="A4" s="27" t="s">
        <v>63</v>
      </c>
    </row>
    <row r="5" spans="1:1" x14ac:dyDescent="0.25">
      <c r="A5" s="27" t="s">
        <v>64</v>
      </c>
    </row>
    <row r="6" spans="1:1" x14ac:dyDescent="0.25">
      <c r="A6" s="27" t="s">
        <v>65</v>
      </c>
    </row>
    <row r="7" spans="1:1" x14ac:dyDescent="0.25">
      <c r="A7" s="27"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Determination</vt:lpstr>
      <vt:lpstr>Linkage correction</vt:lpstr>
      <vt:lpstr>Chart</vt:lpstr>
      <vt:lpstr>Notes</vt:lpstr>
    </vt:vector>
  </TitlesOfParts>
  <Company>Halbrook Community Health Plan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Hawkins</dc:creator>
  <cp:lastModifiedBy>Nathan Hawkins</cp:lastModifiedBy>
  <dcterms:created xsi:type="dcterms:W3CDTF">2026-10-08T15:12:00Z</dcterms:created>
  <dcterms:modified xsi:type="dcterms:W3CDTF">2026-10-09T21:47:36Z</dcterms:modified>
</cp:coreProperties>
</file>