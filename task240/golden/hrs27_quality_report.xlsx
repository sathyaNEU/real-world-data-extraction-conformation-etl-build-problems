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Estimates" sheetId="1" r:id="rId1"/>
    <sheet name="Fieldwork" sheetId="2" r:id="rId2"/>
    <sheet name="Chart" sheetId="3" r:id="rId3"/>
    <sheet name="Notes" sheetId="4" r:id="rId4"/>
  </sheets>
  <definedNames>
    <definedName name="_xlnm._FilterDatabase" localSheetId="0" hidden="1">'Estimates'!$A$4:$G$52</definedName>
    <definedName name="_xlnm.Print_Titles" localSheetId="0">'Estimates'!$4:$4</definedName>
    <definedName name="_xlnm.Print_Titles" localSheetId="1">'Fieldwork'!$4:$4</definedName>
  </definedNames>
  <calcPr calcId="191029"/>
</workbook>
</file>

<file path=xl/sharedStrings.xml><?xml version="1.0" encoding="utf-8"?>
<sst xmlns="http://schemas.openxmlformats.org/spreadsheetml/2006/main" count="226" uniqueCount="59">
  <si>
    <t>Nine of the 48 estimates carry the low-reliability warning, all of them in the four northern regions</t>
  </si>
  <si>
    <t>Household Resources Survey 2027 tables. E: coefficient of variation 20.0 per cent or more (QS-7 section 3).</t>
  </si>
  <si>
    <t>Health region</t>
  </si>
  <si>
    <t>Region name</t>
  </si>
  <si>
    <t>Estimate</t>
  </si>
  <si>
    <t>Adults (thousands)</t>
  </si>
  <si>
    <t>Coefficient of variation (%)</t>
  </si>
  <si>
    <t>Warning</t>
  </si>
  <si>
    <t>Responding adults in region</t>
  </si>
  <si>
    <t>R01</t>
  </si>
  <si>
    <t>Far North</t>
  </si>
  <si>
    <t>Adults receiving a public pension</t>
  </si>
  <si>
    <t>Adults in privately rented homes</t>
  </si>
  <si>
    <t>Adults providing unpaid care</t>
  </si>
  <si>
    <t>E</t>
  </si>
  <si>
    <t>Adults in households behind on a household bill</t>
  </si>
  <si>
    <t>R02</t>
  </si>
  <si>
    <t>North West</t>
  </si>
  <si>
    <t>R03</t>
  </si>
  <si>
    <t>North East</t>
  </si>
  <si>
    <t>R04</t>
  </si>
  <si>
    <t>Lakes</t>
  </si>
  <si>
    <t>R05</t>
  </si>
  <si>
    <t>Capital</t>
  </si>
  <si>
    <t>R06</t>
  </si>
  <si>
    <t>Central</t>
  </si>
  <si>
    <t>R07</t>
  </si>
  <si>
    <t>East</t>
  </si>
  <si>
    <t>R08</t>
  </si>
  <si>
    <t>South East</t>
  </si>
  <si>
    <t>R09</t>
  </si>
  <si>
    <t>South</t>
  </si>
  <si>
    <t>R10</t>
  </si>
  <si>
    <t>South West</t>
  </si>
  <si>
    <t>R11</t>
  </si>
  <si>
    <t>West</t>
  </si>
  <si>
    <t>R12</t>
  </si>
  <si>
    <t>Valley</t>
  </si>
  <si>
    <t>Source: Household Resources Survey 2027, Larchmere Social Research for the Statistics and Surveys Branch; analysis files frozen with the weights on 12 November 2027.</t>
  </si>
  <si>
    <t>Response ran from 48.7 to 59.6 per cent across the twelve regions (52.5 per cent overall)</t>
  </si>
  <si>
    <t>Response rate as QS-7 section 4.2 defines it; calls as section 4.3 defines them, to the addresses with a full interview.</t>
  </si>
  <si>
    <t>Addresses issued</t>
  </si>
  <si>
    <t>Full interviews</t>
  </si>
  <si>
    <t>Response rate</t>
  </si>
  <si>
    <t>Calls to addresses with a full interview</t>
  </si>
  <si>
    <t>All</t>
  </si>
  <si>
    <t>All regions</t>
  </si>
  <si>
    <t>Only the northern regions' care, arrears and North West's renting estimates cross the line</t>
  </si>
  <si>
    <t>Coefficient of variation by health region and estimate, per cent; the dashed line is the warning line, 20.0 per cent.</t>
  </si>
  <si>
    <t>Warning line (20.0%)</t>
  </si>
  <si>
    <t>Notes</t>
  </si>
  <si>
    <t>Standard: QS-7 Statistical quality standard, contracted household surveys, edition 3 (sections 2 to 5).</t>
  </si>
  <si>
    <t>Estimates: adults aged 16 and over, in thousands, made with the final weights frozen on 12 November 2027, the design weights post-stratified to the Branch's population estimates for 1 July 2027 within the 96 cells of health region, age group and sex. Don't know and refused are not counted; proxy answers are.</t>
  </si>
  <si>
    <t>Coefficient of variation: the standard error of the estimate as published over the unrounded estimate. The estimate is a post-stratified total, so its Taylor linearisation is each adult's departure from the weighted rate of their health region, age group and sex cell, weighted and totalled by PSU, the PSUs treated as selected with replacement within their strata (707 PSUs in 24 strata). Held fixed, the final weights would put 15 estimates over the line.</t>
  </si>
  <si>
    <t>Health regions: the twelve regions as drawn by the Branch's 2025 boundary review. The master sample still holds the earlier region code for the 12 PSUs the review moved; their addresses count in the regions they now lie in, where the analysis files place their households.</t>
  </si>
  <si>
    <t>Full interviews: every household in the analysis files (3,764). 107 of them reached the office after the outcome extract of 30 September, which still shows them as non-contacts, other non-response or occupancy not established.</t>
  </si>
  <si>
    <t>Addresses never worked: 94 issued addresses have no outcome; their eligibility was never established, and they count at the wave's eligible share (e = 0.917).</t>
  </si>
  <si>
    <t>Calls: visits and telephone calls by the interviewer working each issue, in every issue. 769 calls reached the office twice after a tablet's sync failed (the same address, issue, time, result and interviewer under a new record number); each counts once.</t>
  </si>
  <si>
    <t>Data as of 3 December 2027. Prepared by Larchmere Social Research for the Statistics and Surveys Branch.</t>
  </si>
</sst>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b val="1"/>
      <color rgb="001E2430"/>
      <sz val="13"/>
    </font>
    <font>
      <i val="1"/>
      <color rgb="00555555"/>
      <sz val="9"/>
    </font>
    <font>
      <b val="1"/>
      <color rgb="00FFFFFF"/>
    </font>
    <font>
      <b val="1"/>
      <color rgb="00B5482B"/>
    </font>
    <font>
      <b val="1"/>
    </font>
    <font>
      <b val="1"/>
      <sz val="12"/>
    </font>
  </fonts>
  <fills count="3">
    <fill>
      <patternFill/>
    </fill>
    <fill>
      <patternFill patternType="gray125"/>
    </fill>
    <fill>
      <patternFill patternType="solid">
        <fgColor rgb="0023395B"/>
      </patternFill>
    </fill>
  </fills>
  <borders count="2">
    <border>
      <left/>
      <right/>
      <top/>
      <bottom/>
      <diagonal/>
    </border>
    <border>
      <bottom style="thin">
        <color rgb="00B9C0CC"/>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0" fillId="0" borderId="1" applyAlignment="1" pivotButton="0" quotePrefix="0" xfId="0">
      <alignment vertical="top" wrapText="1"/>
    </xf>
    <xf numFmtId="164" fontId="0" fillId="0" borderId="1" applyAlignment="1" pivotButton="0" quotePrefix="0" xfId="0">
      <alignment horizontal="right" vertical="top"/>
    </xf>
    <xf numFmtId="3" fontId="0" fillId="0" borderId="1" applyAlignment="1" pivotButton="0" quotePrefix="0" xfId="0">
      <alignment horizontal="right" vertical="top"/>
    </xf>
    <xf numFmtId="0" fontId="4" fillId="0" borderId="1" applyAlignment="1" pivotButton="0" quotePrefix="0" xfId="0">
      <alignment vertical="top" wrapText="1"/>
    </xf>
    <xf numFmtId="164" fontId="4" fillId="0" borderId="1" applyAlignment="1" pivotButton="0" quotePrefix="0" xfId="0">
      <alignment horizontal="right" vertical="top"/>
    </xf>
    <xf numFmtId="3" fontId="4" fillId="0" borderId="1" applyAlignment="1" pivotButton="0" quotePrefix="0" xfId="0">
      <alignment horizontal="right" vertical="top"/>
    </xf>
    <xf numFmtId="165" fontId="0" fillId="0" borderId="1" applyAlignment="1" pivotButton="0" quotePrefix="0" xfId="0">
      <alignment horizontal="right" vertical="top"/>
    </xf>
    <xf numFmtId="0" fontId="5" fillId="0" borderId="1" applyAlignment="1" pivotButton="0" quotePrefix="0" xfId="0">
      <alignment vertical="top" wrapText="1"/>
    </xf>
    <xf numFmtId="3" fontId="5" fillId="0" borderId="1" applyAlignment="1" pivotButton="0" quotePrefix="0" xfId="0">
      <alignment horizontal="right" vertical="top"/>
    </xf>
    <xf numFmtId="165" fontId="5" fillId="0" borderId="1" applyAlignment="1" pivotButton="0" quotePrefix="0" xfId="0">
      <alignment horizontal="right" vertical="top"/>
    </xf>
    <xf numFmtId="0" fontId="5" fillId="0" borderId="0" applyAlignment="1" pivotButton="0" quotePrefix="0" xfId="0">
      <alignment vertical="bottom" wrapText="1"/>
    </xf>
    <xf numFmtId="164" fontId="0" fillId="0" borderId="0"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styles" Target="styles.xml" Id="rId5"/><Relationship Type="http://schemas.openxmlformats.org/officeDocument/2006/relationships/theme" Target="theme/theme1.xml" Id="rId6"/><Relationship Id="rId7" Type="http://schemas.openxmlformats.org/officeDocument/2006/relationships/sharedStrings" Target="sharedStrings.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Coefficient of variation by estimate (%)</a:t>
            </a:r>
          </a:p>
        </rich>
      </tx>
    </title>
    <plotArea>
      <barChart>
        <barDir val="col"/>
        <grouping val="clustered"/>
        <ser>
          <idx val="0"/>
          <order val="0"/>
          <tx>
            <strRef>
              <f>'Chart'!B4</f>
            </strRef>
          </tx>
          <spPr>
            <a:solidFill xmlns:a="http://schemas.openxmlformats.org/drawingml/2006/main">
              <a:srgbClr val="9AA5B8"/>
            </a:solidFill>
            <a:ln xmlns:a="http://schemas.openxmlformats.org/drawingml/2006/main">
              <a:solidFill>
                <a:srgbClr val="9AA5B8"/>
              </a:solidFill>
              <a:prstDash val="solid"/>
            </a:ln>
          </spPr>
          <cat>
            <numRef>
              <f>'Chart'!$A$5:$A$16</f>
            </numRef>
          </cat>
          <val>
            <numRef>
              <f>'Chart'!$B$5:$B$16</f>
            </numRef>
          </val>
        </ser>
        <ser>
          <idx val="1"/>
          <order val="1"/>
          <tx>
            <strRef>
              <f>'Chart'!C4</f>
            </strRef>
          </tx>
          <spPr>
            <a:solidFill xmlns:a="http://schemas.openxmlformats.org/drawingml/2006/main">
              <a:srgbClr val="4F7CAC"/>
            </a:solidFill>
            <a:ln xmlns:a="http://schemas.openxmlformats.org/drawingml/2006/main">
              <a:solidFill>
                <a:srgbClr val="4F7CAC"/>
              </a:solidFill>
              <a:prstDash val="solid"/>
            </a:ln>
          </spPr>
          <cat>
            <numRef>
              <f>'Chart'!$A$5:$A$16</f>
            </numRef>
          </cat>
          <val>
            <numRef>
              <f>'Chart'!$C$5:$C$16</f>
            </numRef>
          </val>
        </ser>
        <ser>
          <idx val="2"/>
          <order val="2"/>
          <tx>
            <strRef>
              <f>'Chart'!D4</f>
            </strRef>
          </tx>
          <spPr>
            <a:solidFill xmlns:a="http://schemas.openxmlformats.org/drawingml/2006/main">
              <a:srgbClr val="B5482B"/>
            </a:solidFill>
            <a:ln xmlns:a="http://schemas.openxmlformats.org/drawingml/2006/main">
              <a:solidFill>
                <a:srgbClr val="B5482B"/>
              </a:solidFill>
              <a:prstDash val="solid"/>
            </a:ln>
          </spPr>
          <cat>
            <numRef>
              <f>'Chart'!$A$5:$A$16</f>
            </numRef>
          </cat>
          <val>
            <numRef>
              <f>'Chart'!$D$5:$D$16</f>
            </numRef>
          </val>
        </ser>
        <ser>
          <idx val="3"/>
          <order val="3"/>
          <tx>
            <strRef>
              <f>'Chart'!E4</f>
            </strRef>
          </tx>
          <spPr>
            <a:solidFill xmlns:a="http://schemas.openxmlformats.org/drawingml/2006/main">
              <a:srgbClr val="D9A441"/>
            </a:solidFill>
            <a:ln xmlns:a="http://schemas.openxmlformats.org/drawingml/2006/main">
              <a:solidFill>
                <a:srgbClr val="D9A441"/>
              </a:solidFill>
              <a:prstDash val="solid"/>
            </a:ln>
          </spPr>
          <cat>
            <numRef>
              <f>'Chart'!$A$5:$A$16</f>
            </numRef>
          </cat>
          <val>
            <numRef>
              <f>'Chart'!$E$5:$E$16</f>
            </numRef>
          </val>
        </ser>
        <gapWidth val="60"/>
        <axId val="10"/>
        <axId val="100"/>
      </barChart>
      <lineChart>
        <grouping val="standard"/>
        <ser>
          <idx val="4"/>
          <order val="4"/>
          <tx>
            <strRef>
              <f>'Chart'!F4</f>
            </strRef>
          </tx>
          <spPr>
            <a:ln xmlns:a="http://schemas.openxmlformats.org/drawingml/2006/main" w="22000">
              <a:solidFill>
                <a:srgbClr val="1E2430"/>
              </a:solidFill>
              <a:prstDash val="dash"/>
            </a:ln>
          </spPr>
          <marker>
            <symbol val="none"/>
            <spPr>
              <a:ln xmlns:a="http://schemas.openxmlformats.org/drawingml/2006/main">
                <a:prstDash val="solid"/>
              </a:ln>
            </spPr>
          </marker>
          <val>
            <numRef>
              <f>'Chart'!$F$5:$F$16</f>
            </numRef>
          </val>
          <smooth val="0"/>
        </ser>
        <axId val="10"/>
        <axId val="100"/>
      </lineChart>
      <catAx>
        <axId val="10"/>
        <scaling>
          <orientation val="minMax"/>
        </scaling>
        <axPos val="l"/>
        <majorTickMark val="none"/>
        <minorTickMark val="none"/>
        <crossAx val="100"/>
        <lblOffset val="100"/>
      </catAx>
      <valAx>
        <axId val="100"/>
        <scaling>
          <orientation val="minMax"/>
          <max val="50"/>
          <min val="0"/>
        </scaling>
        <axPos val="l"/>
        <majorGridlines/>
        <title>
          <tx>
            <rich>
              <a:bodyPr xmlns:a="http://schemas.openxmlformats.org/drawingml/2006/main"/>
              <a:p xmlns:a="http://schemas.openxmlformats.org/drawingml/2006/main">
                <a:pPr>
                  <a:defRPr/>
                </a:pPr>
                <a:r>
                  <a:t>Coefficient of variation (%)</a:t>
                </a:r>
              </a:p>
            </rich>
          </tx>
        </title>
        <numFmt formatCode="0" sourceLinked="0"/>
        <majorTickMark val="none"/>
        <minorTickMark val="none"/>
        <crossAx val="10"/>
        <majorUnit val="10"/>
      </valAx>
    </plotArea>
    <legend>
      <legendPos val="b"/>
    </legend>
    <plotVisOnly val="1"/>
    <dispBlanksAs val="gap"/>
  </chart>
</chartSpace>
</file>

<file path=xl/drawings/_rels/drawing1.xml.rels><?xml version="1.0" encoding="UTF-8" standalone="yes"?>
<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17</row>
      <rowOff>0</rowOff>
    </from>
    <ext cx="9360000" cy="37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G54"/>
  <sheetViews>
    <sheetView showGridLines="0" workbookViewId="0">
      <pane ySplit="4" topLeftCell="A5" activePane="bottomLeft" state="frozen"/>
      <selection pane="bottomLeft" activeCell="A1" sqref="A1"/>
    </sheetView>
  </sheetViews>
  <sheetFormatPr baseColWidth="8" defaultRowHeight="15"/>
  <cols>
    <col width="9" customWidth="1" min="1" max="1"/>
    <col width="14" customWidth="1" min="2" max="2"/>
    <col width="42" customWidth="1" min="3" max="3"/>
    <col width="12" customWidth="1" min="4" max="4"/>
    <col width="14" customWidth="1" min="5" max="5"/>
    <col width="9" customWidth="1" min="6" max="6"/>
    <col width="13" customWidth="1" min="7" max="7"/>
  </cols>
  <sheetData>
    <row r="1">
      <c r="A1" s="1" t="s">
        <v>0</v>
      </c>
    </row>
    <row r="2">
      <c r="A2" s="2" t="s">
        <v>1</v>
      </c>
    </row>
    <row r="4">
      <c r="A4" s="3" t="s">
        <v>2</v>
      </c>
      <c r="B4" s="3" t="s">
        <v>3</v>
      </c>
      <c r="C4" s="3" t="s">
        <v>4</v>
      </c>
      <c r="D4" s="3" t="s">
        <v>5</v>
      </c>
      <c r="E4" s="3" t="s">
        <v>6</v>
      </c>
      <c r="F4" s="3" t="s">
        <v>7</v>
      </c>
      <c r="G4" s="3" t="s">
        <v>8</v>
      </c>
    </row>
    <row r="5">
      <c r="A5" s="4" t="s">
        <v>9</v>
      </c>
      <c r="B5" s="4" t="s">
        <v>10</v>
      </c>
      <c r="C5" s="4" t="s">
        <v>11</v>
      </c>
      <c r="D5" s="5">
        <v>8.300000000000001</v>
      </c>
      <c r="E5" s="5">
        <v>5</v>
      </c>
      <c r="F5" s="4"/>
      <c r="G5" s="6">
        <v>73</v>
      </c>
    </row>
    <row r="6">
      <c r="A6" s="4" t="s">
        <v>9</v>
      </c>
      <c r="B6" s="4" t="s">
        <v>10</v>
      </c>
      <c r="C6" s="4" t="s">
        <v>12</v>
      </c>
      <c r="D6" s="5">
        <v>18.3</v>
      </c>
      <c r="E6" s="5">
        <v>18.4</v>
      </c>
      <c r="F6" s="4"/>
      <c r="G6" s="6">
        <v>73</v>
      </c>
    </row>
    <row r="7">
      <c r="A7" s="7" t="s">
        <v>9</v>
      </c>
      <c r="B7" s="7" t="s">
        <v>10</v>
      </c>
      <c r="C7" s="7" t="s">
        <v>13</v>
      </c>
      <c r="D7" s="8">
        <v>3.5</v>
      </c>
      <c r="E7" s="8">
        <v>27.6</v>
      </c>
      <c r="F7" s="7" t="s">
        <v>14</v>
      </c>
      <c r="G7" s="9">
        <v>73</v>
      </c>
    </row>
    <row r="8">
      <c r="A8" s="7" t="s">
        <v>9</v>
      </c>
      <c r="B8" s="7" t="s">
        <v>10</v>
      </c>
      <c r="C8" s="7" t="s">
        <v>15</v>
      </c>
      <c r="D8" s="8">
        <v>13.5</v>
      </c>
      <c r="E8" s="8">
        <v>30.1</v>
      </c>
      <c r="F8" s="7" t="s">
        <v>14</v>
      </c>
      <c r="G8" s="9">
        <v>73</v>
      </c>
    </row>
    <row r="9">
      <c r="A9" s="4" t="s">
        <v>16</v>
      </c>
      <c r="B9" s="4" t="s">
        <v>17</v>
      </c>
      <c r="C9" s="4" t="s">
        <v>11</v>
      </c>
      <c r="D9" s="5">
        <v>10</v>
      </c>
      <c r="E9" s="5">
        <v>7.5</v>
      </c>
      <c r="F9" s="4"/>
      <c r="G9" s="6">
        <v>62</v>
      </c>
    </row>
    <row r="10">
      <c r="A10" s="7" t="s">
        <v>16</v>
      </c>
      <c r="B10" s="7" t="s">
        <v>17</v>
      </c>
      <c r="C10" s="7" t="s">
        <v>12</v>
      </c>
      <c r="D10" s="8">
        <v>13.6</v>
      </c>
      <c r="E10" s="8">
        <v>32.7</v>
      </c>
      <c r="F10" s="7" t="s">
        <v>14</v>
      </c>
      <c r="G10" s="9">
        <v>62</v>
      </c>
    </row>
    <row r="11">
      <c r="A11" s="7" t="s">
        <v>16</v>
      </c>
      <c r="B11" s="7" t="s">
        <v>17</v>
      </c>
      <c r="C11" s="7" t="s">
        <v>13</v>
      </c>
      <c r="D11" s="8">
        <v>4</v>
      </c>
      <c r="E11" s="8">
        <v>48.7</v>
      </c>
      <c r="F11" s="7" t="s">
        <v>14</v>
      </c>
      <c r="G11" s="9">
        <v>62</v>
      </c>
    </row>
    <row r="12">
      <c r="A12" s="7" t="s">
        <v>16</v>
      </c>
      <c r="B12" s="7" t="s">
        <v>17</v>
      </c>
      <c r="C12" s="7" t="s">
        <v>15</v>
      </c>
      <c r="D12" s="8">
        <v>9.800000000000001</v>
      </c>
      <c r="E12" s="8">
        <v>39.4</v>
      </c>
      <c r="F12" s="7" t="s">
        <v>14</v>
      </c>
      <c r="G12" s="9">
        <v>62</v>
      </c>
    </row>
    <row r="13">
      <c r="A13" s="4" t="s">
        <v>18</v>
      </c>
      <c r="B13" s="4" t="s">
        <v>19</v>
      </c>
      <c r="C13" s="4" t="s">
        <v>11</v>
      </c>
      <c r="D13" s="5">
        <v>11.9</v>
      </c>
      <c r="E13" s="5">
        <v>8.4</v>
      </c>
      <c r="F13" s="4"/>
      <c r="G13" s="6">
        <v>111</v>
      </c>
    </row>
    <row r="14">
      <c r="A14" s="4" t="s">
        <v>18</v>
      </c>
      <c r="B14" s="4" t="s">
        <v>19</v>
      </c>
      <c r="C14" s="4" t="s">
        <v>12</v>
      </c>
      <c r="D14" s="5">
        <v>17.2</v>
      </c>
      <c r="E14" s="5">
        <v>16.5</v>
      </c>
      <c r="F14" s="4"/>
      <c r="G14" s="6">
        <v>111</v>
      </c>
    </row>
    <row r="15">
      <c r="A15" s="7" t="s">
        <v>18</v>
      </c>
      <c r="B15" s="7" t="s">
        <v>19</v>
      </c>
      <c r="C15" s="7" t="s">
        <v>13</v>
      </c>
      <c r="D15" s="8">
        <v>3.7</v>
      </c>
      <c r="E15" s="8">
        <v>38.6</v>
      </c>
      <c r="F15" s="7" t="s">
        <v>14</v>
      </c>
      <c r="G15" s="9">
        <v>111</v>
      </c>
    </row>
    <row r="16">
      <c r="A16" s="7" t="s">
        <v>18</v>
      </c>
      <c r="B16" s="7" t="s">
        <v>19</v>
      </c>
      <c r="C16" s="7" t="s">
        <v>15</v>
      </c>
      <c r="D16" s="8">
        <v>20.6</v>
      </c>
      <c r="E16" s="8">
        <v>30</v>
      </c>
      <c r="F16" s="7" t="s">
        <v>14</v>
      </c>
      <c r="G16" s="9">
        <v>111</v>
      </c>
    </row>
    <row r="17">
      <c r="A17" s="4" t="s">
        <v>20</v>
      </c>
      <c r="B17" s="4" t="s">
        <v>21</v>
      </c>
      <c r="C17" s="4" t="s">
        <v>11</v>
      </c>
      <c r="D17" s="5">
        <v>17.1</v>
      </c>
      <c r="E17" s="5">
        <v>6.5</v>
      </c>
      <c r="F17" s="4"/>
      <c r="G17" s="6">
        <v>127</v>
      </c>
    </row>
    <row r="18">
      <c r="A18" s="4" t="s">
        <v>20</v>
      </c>
      <c r="B18" s="4" t="s">
        <v>21</v>
      </c>
      <c r="C18" s="4" t="s">
        <v>12</v>
      </c>
      <c r="D18" s="5">
        <v>23.7</v>
      </c>
      <c r="E18" s="5">
        <v>12.6</v>
      </c>
      <c r="F18" s="4"/>
      <c r="G18" s="6">
        <v>127</v>
      </c>
    </row>
    <row r="19">
      <c r="A19" s="7" t="s">
        <v>20</v>
      </c>
      <c r="B19" s="7" t="s">
        <v>21</v>
      </c>
      <c r="C19" s="7" t="s">
        <v>13</v>
      </c>
      <c r="D19" s="8">
        <v>6.6</v>
      </c>
      <c r="E19" s="8">
        <v>34.3</v>
      </c>
      <c r="F19" s="7" t="s">
        <v>14</v>
      </c>
      <c r="G19" s="9">
        <v>127</v>
      </c>
    </row>
    <row r="20">
      <c r="A20" s="7" t="s">
        <v>20</v>
      </c>
      <c r="B20" s="7" t="s">
        <v>21</v>
      </c>
      <c r="C20" s="7" t="s">
        <v>15</v>
      </c>
      <c r="D20" s="8">
        <v>15.8</v>
      </c>
      <c r="E20" s="8">
        <v>28.1</v>
      </c>
      <c r="F20" s="7" t="s">
        <v>14</v>
      </c>
      <c r="G20" s="9">
        <v>127</v>
      </c>
    </row>
    <row r="21">
      <c r="A21" s="4" t="s">
        <v>22</v>
      </c>
      <c r="B21" s="4" t="s">
        <v>23</v>
      </c>
      <c r="C21" s="4" t="s">
        <v>11</v>
      </c>
      <c r="D21" s="5">
        <v>215.9</v>
      </c>
      <c r="E21" s="5">
        <v>2.2</v>
      </c>
      <c r="F21" s="4"/>
      <c r="G21" s="6">
        <v>1478</v>
      </c>
    </row>
    <row r="22">
      <c r="A22" s="4" t="s">
        <v>22</v>
      </c>
      <c r="B22" s="4" t="s">
        <v>23</v>
      </c>
      <c r="C22" s="4" t="s">
        <v>12</v>
      </c>
      <c r="D22" s="5">
        <v>277.1</v>
      </c>
      <c r="E22" s="5">
        <v>6.2</v>
      </c>
      <c r="F22" s="4"/>
      <c r="G22" s="6">
        <v>1478</v>
      </c>
    </row>
    <row r="23">
      <c r="A23" s="4" t="s">
        <v>22</v>
      </c>
      <c r="B23" s="4" t="s">
        <v>23</v>
      </c>
      <c r="C23" s="4" t="s">
        <v>13</v>
      </c>
      <c r="D23" s="5">
        <v>99.8</v>
      </c>
      <c r="E23" s="5">
        <v>8</v>
      </c>
      <c r="F23" s="4"/>
      <c r="G23" s="6">
        <v>1478</v>
      </c>
    </row>
    <row r="24">
      <c r="A24" s="4" t="s">
        <v>22</v>
      </c>
      <c r="B24" s="4" t="s">
        <v>23</v>
      </c>
      <c r="C24" s="4" t="s">
        <v>15</v>
      </c>
      <c r="D24" s="5">
        <v>161.6</v>
      </c>
      <c r="E24" s="5">
        <v>10.1</v>
      </c>
      <c r="F24" s="4"/>
      <c r="G24" s="6">
        <v>1478</v>
      </c>
    </row>
    <row r="25">
      <c r="A25" s="4" t="s">
        <v>24</v>
      </c>
      <c r="B25" s="4" t="s">
        <v>25</v>
      </c>
      <c r="C25" s="4" t="s">
        <v>11</v>
      </c>
      <c r="D25" s="5">
        <v>180.2</v>
      </c>
      <c r="E25" s="5">
        <v>1.9</v>
      </c>
      <c r="F25" s="4"/>
      <c r="G25" s="6">
        <v>1371</v>
      </c>
    </row>
    <row r="26">
      <c r="A26" s="4" t="s">
        <v>24</v>
      </c>
      <c r="B26" s="4" t="s">
        <v>25</v>
      </c>
      <c r="C26" s="4" t="s">
        <v>12</v>
      </c>
      <c r="D26" s="5">
        <v>234.7</v>
      </c>
      <c r="E26" s="5">
        <v>6.5</v>
      </c>
      <c r="F26" s="4"/>
      <c r="G26" s="6">
        <v>1371</v>
      </c>
    </row>
    <row r="27">
      <c r="A27" s="4" t="s">
        <v>24</v>
      </c>
      <c r="B27" s="4" t="s">
        <v>25</v>
      </c>
      <c r="C27" s="4" t="s">
        <v>13</v>
      </c>
      <c r="D27" s="5">
        <v>60.8</v>
      </c>
      <c r="E27" s="5">
        <v>9.300000000000001</v>
      </c>
      <c r="F27" s="4"/>
      <c r="G27" s="6">
        <v>1371</v>
      </c>
    </row>
    <row r="28">
      <c r="A28" s="4" t="s">
        <v>24</v>
      </c>
      <c r="B28" s="4" t="s">
        <v>25</v>
      </c>
      <c r="C28" s="4" t="s">
        <v>15</v>
      </c>
      <c r="D28" s="5">
        <v>116.9</v>
      </c>
      <c r="E28" s="5">
        <v>10.1</v>
      </c>
      <c r="F28" s="4"/>
      <c r="G28" s="6">
        <v>1371</v>
      </c>
    </row>
    <row r="29">
      <c r="A29" s="4" t="s">
        <v>26</v>
      </c>
      <c r="B29" s="4" t="s">
        <v>27</v>
      </c>
      <c r="C29" s="4" t="s">
        <v>11</v>
      </c>
      <c r="D29" s="5">
        <v>150.1</v>
      </c>
      <c r="E29" s="5">
        <v>2.4</v>
      </c>
      <c r="F29" s="4"/>
      <c r="G29" s="6">
        <v>1066</v>
      </c>
    </row>
    <row r="30">
      <c r="A30" s="4" t="s">
        <v>26</v>
      </c>
      <c r="B30" s="4" t="s">
        <v>27</v>
      </c>
      <c r="C30" s="4" t="s">
        <v>12</v>
      </c>
      <c r="D30" s="5">
        <v>222.6</v>
      </c>
      <c r="E30" s="5">
        <v>6.8</v>
      </c>
      <c r="F30" s="4"/>
      <c r="G30" s="6">
        <v>1066</v>
      </c>
    </row>
    <row r="31">
      <c r="A31" s="4" t="s">
        <v>26</v>
      </c>
      <c r="B31" s="4" t="s">
        <v>27</v>
      </c>
      <c r="C31" s="4" t="s">
        <v>13</v>
      </c>
      <c r="D31" s="5">
        <v>65.90000000000001</v>
      </c>
      <c r="E31" s="5">
        <v>9.4</v>
      </c>
      <c r="F31" s="4"/>
      <c r="G31" s="6">
        <v>1066</v>
      </c>
    </row>
    <row r="32">
      <c r="A32" s="4" t="s">
        <v>26</v>
      </c>
      <c r="B32" s="4" t="s">
        <v>27</v>
      </c>
      <c r="C32" s="4" t="s">
        <v>15</v>
      </c>
      <c r="D32" s="5">
        <v>133.2</v>
      </c>
      <c r="E32" s="5">
        <v>10.2</v>
      </c>
      <c r="F32" s="4"/>
      <c r="G32" s="6">
        <v>1066</v>
      </c>
    </row>
    <row r="33">
      <c r="A33" s="4" t="s">
        <v>28</v>
      </c>
      <c r="B33" s="4" t="s">
        <v>29</v>
      </c>
      <c r="C33" s="4" t="s">
        <v>11</v>
      </c>
      <c r="D33" s="5">
        <v>122.6</v>
      </c>
      <c r="E33" s="5">
        <v>2.8</v>
      </c>
      <c r="F33" s="4"/>
      <c r="G33" s="6">
        <v>857</v>
      </c>
    </row>
    <row r="34">
      <c r="A34" s="4" t="s">
        <v>28</v>
      </c>
      <c r="B34" s="4" t="s">
        <v>29</v>
      </c>
      <c r="C34" s="4" t="s">
        <v>12</v>
      </c>
      <c r="D34" s="5">
        <v>133.1</v>
      </c>
      <c r="E34" s="5">
        <v>9.699999999999999</v>
      </c>
      <c r="F34" s="4"/>
      <c r="G34" s="6">
        <v>857</v>
      </c>
    </row>
    <row r="35">
      <c r="A35" s="4" t="s">
        <v>28</v>
      </c>
      <c r="B35" s="4" t="s">
        <v>29</v>
      </c>
      <c r="C35" s="4" t="s">
        <v>13</v>
      </c>
      <c r="D35" s="5">
        <v>51.7</v>
      </c>
      <c r="E35" s="5">
        <v>9.4</v>
      </c>
      <c r="F35" s="4"/>
      <c r="G35" s="6">
        <v>857</v>
      </c>
    </row>
    <row r="36">
      <c r="A36" s="4" t="s">
        <v>28</v>
      </c>
      <c r="B36" s="4" t="s">
        <v>29</v>
      </c>
      <c r="C36" s="4" t="s">
        <v>15</v>
      </c>
      <c r="D36" s="5">
        <v>96.8</v>
      </c>
      <c r="E36" s="5">
        <v>12.2</v>
      </c>
      <c r="F36" s="4"/>
      <c r="G36" s="6">
        <v>857</v>
      </c>
    </row>
    <row r="37">
      <c r="A37" s="4" t="s">
        <v>30</v>
      </c>
      <c r="B37" s="4" t="s">
        <v>31</v>
      </c>
      <c r="C37" s="4" t="s">
        <v>11</v>
      </c>
      <c r="D37" s="5">
        <v>95.5</v>
      </c>
      <c r="E37" s="5">
        <v>2.8</v>
      </c>
      <c r="F37" s="4"/>
      <c r="G37" s="6">
        <v>759</v>
      </c>
    </row>
    <row r="38">
      <c r="A38" s="4" t="s">
        <v>30</v>
      </c>
      <c r="B38" s="4" t="s">
        <v>31</v>
      </c>
      <c r="C38" s="4" t="s">
        <v>12</v>
      </c>
      <c r="D38" s="5">
        <v>120.5</v>
      </c>
      <c r="E38" s="5">
        <v>10.7</v>
      </c>
      <c r="F38" s="4"/>
      <c r="G38" s="6">
        <v>759</v>
      </c>
    </row>
    <row r="39">
      <c r="A39" s="4" t="s">
        <v>30</v>
      </c>
      <c r="B39" s="4" t="s">
        <v>31</v>
      </c>
      <c r="C39" s="4" t="s">
        <v>13</v>
      </c>
      <c r="D39" s="5">
        <v>45.1</v>
      </c>
      <c r="E39" s="5">
        <v>9.5</v>
      </c>
      <c r="F39" s="4"/>
      <c r="G39" s="6">
        <v>759</v>
      </c>
    </row>
    <row r="40">
      <c r="A40" s="4" t="s">
        <v>30</v>
      </c>
      <c r="B40" s="4" t="s">
        <v>31</v>
      </c>
      <c r="C40" s="4" t="s">
        <v>15</v>
      </c>
      <c r="D40" s="5">
        <v>86.59999999999999</v>
      </c>
      <c r="E40" s="5">
        <v>14.3</v>
      </c>
      <c r="F40" s="4"/>
      <c r="G40" s="6">
        <v>759</v>
      </c>
    </row>
    <row r="41">
      <c r="A41" s="4" t="s">
        <v>32</v>
      </c>
      <c r="B41" s="4" t="s">
        <v>33</v>
      </c>
      <c r="C41" s="4" t="s">
        <v>11</v>
      </c>
      <c r="D41" s="5">
        <v>72.2</v>
      </c>
      <c r="E41" s="5">
        <v>3.7</v>
      </c>
      <c r="F41" s="4"/>
      <c r="G41" s="6">
        <v>610</v>
      </c>
    </row>
    <row r="42">
      <c r="A42" s="4" t="s">
        <v>32</v>
      </c>
      <c r="B42" s="4" t="s">
        <v>33</v>
      </c>
      <c r="C42" s="4" t="s">
        <v>12</v>
      </c>
      <c r="D42" s="5">
        <v>85.3</v>
      </c>
      <c r="E42" s="5">
        <v>10.1</v>
      </c>
      <c r="F42" s="4"/>
      <c r="G42" s="6">
        <v>610</v>
      </c>
    </row>
    <row r="43">
      <c r="A43" s="4" t="s">
        <v>32</v>
      </c>
      <c r="B43" s="4" t="s">
        <v>33</v>
      </c>
      <c r="C43" s="4" t="s">
        <v>13</v>
      </c>
      <c r="D43" s="5">
        <v>46.8</v>
      </c>
      <c r="E43" s="5">
        <v>9.1</v>
      </c>
      <c r="F43" s="4"/>
      <c r="G43" s="6">
        <v>610</v>
      </c>
    </row>
    <row r="44">
      <c r="A44" s="4" t="s">
        <v>32</v>
      </c>
      <c r="B44" s="4" t="s">
        <v>33</v>
      </c>
      <c r="C44" s="4" t="s">
        <v>15</v>
      </c>
      <c r="D44" s="5">
        <v>78.09999999999999</v>
      </c>
      <c r="E44" s="5">
        <v>11.7</v>
      </c>
      <c r="F44" s="4"/>
      <c r="G44" s="6">
        <v>610</v>
      </c>
    </row>
    <row r="45">
      <c r="A45" s="4" t="s">
        <v>34</v>
      </c>
      <c r="B45" s="4" t="s">
        <v>35</v>
      </c>
      <c r="C45" s="4" t="s">
        <v>11</v>
      </c>
      <c r="D45" s="5">
        <v>60.3</v>
      </c>
      <c r="E45" s="5">
        <v>4.6</v>
      </c>
      <c r="F45" s="4"/>
      <c r="G45" s="6">
        <v>381</v>
      </c>
    </row>
    <row r="46">
      <c r="A46" s="4" t="s">
        <v>34</v>
      </c>
      <c r="B46" s="4" t="s">
        <v>35</v>
      </c>
      <c r="C46" s="4" t="s">
        <v>12</v>
      </c>
      <c r="D46" s="5">
        <v>63.6</v>
      </c>
      <c r="E46" s="5">
        <v>15.1</v>
      </c>
      <c r="F46" s="4"/>
      <c r="G46" s="6">
        <v>381</v>
      </c>
    </row>
    <row r="47">
      <c r="A47" s="4" t="s">
        <v>34</v>
      </c>
      <c r="B47" s="4" t="s">
        <v>35</v>
      </c>
      <c r="C47" s="4" t="s">
        <v>13</v>
      </c>
      <c r="D47" s="5">
        <v>26.9</v>
      </c>
      <c r="E47" s="5">
        <v>14.2</v>
      </c>
      <c r="F47" s="4"/>
      <c r="G47" s="6">
        <v>381</v>
      </c>
    </row>
    <row r="48">
      <c r="A48" s="4" t="s">
        <v>34</v>
      </c>
      <c r="B48" s="4" t="s">
        <v>35</v>
      </c>
      <c r="C48" s="4" t="s">
        <v>15</v>
      </c>
      <c r="D48" s="5">
        <v>56.1</v>
      </c>
      <c r="E48" s="5">
        <v>14</v>
      </c>
      <c r="F48" s="4"/>
      <c r="G48" s="6">
        <v>381</v>
      </c>
    </row>
    <row r="49">
      <c r="A49" s="4" t="s">
        <v>36</v>
      </c>
      <c r="B49" s="4" t="s">
        <v>37</v>
      </c>
      <c r="C49" s="4" t="s">
        <v>11</v>
      </c>
      <c r="D49" s="5">
        <v>47.4</v>
      </c>
      <c r="E49" s="5">
        <v>3</v>
      </c>
      <c r="F49" s="4"/>
      <c r="G49" s="6">
        <v>343</v>
      </c>
    </row>
    <row r="50">
      <c r="A50" s="4" t="s">
        <v>36</v>
      </c>
      <c r="B50" s="4" t="s">
        <v>37</v>
      </c>
      <c r="C50" s="4" t="s">
        <v>12</v>
      </c>
      <c r="D50" s="5">
        <v>61.3</v>
      </c>
      <c r="E50" s="5">
        <v>12.4</v>
      </c>
      <c r="F50" s="4"/>
      <c r="G50" s="6">
        <v>343</v>
      </c>
    </row>
    <row r="51">
      <c r="A51" s="4" t="s">
        <v>36</v>
      </c>
      <c r="B51" s="4" t="s">
        <v>37</v>
      </c>
      <c r="C51" s="4" t="s">
        <v>13</v>
      </c>
      <c r="D51" s="5">
        <v>20.6</v>
      </c>
      <c r="E51" s="5">
        <v>12.8</v>
      </c>
      <c r="F51" s="4"/>
      <c r="G51" s="6">
        <v>343</v>
      </c>
    </row>
    <row r="52">
      <c r="A52" s="4" t="s">
        <v>36</v>
      </c>
      <c r="B52" s="4" t="s">
        <v>37</v>
      </c>
      <c r="C52" s="4" t="s">
        <v>15</v>
      </c>
      <c r="D52" s="5">
        <v>44.4</v>
      </c>
      <c r="E52" s="5">
        <v>14.1</v>
      </c>
      <c r="F52" s="4"/>
      <c r="G52" s="6">
        <v>343</v>
      </c>
    </row>
    <row r="54">
      <c r="A54" s="2" t="s">
        <v>38</v>
      </c>
    </row>
  </sheetData>
  <autoFilter ref="A4:G52"/>
  <pageMargins left="0.7" right="0.7" top="0.75" bottom="0.75" header="0.3" footer="0.3"/>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17"/>
  <sheetViews>
    <sheetView showGridLines="0" workbookViewId="0">
      <pane ySplit="4" topLeftCell="A5" activePane="bottomLeft" state="frozen"/>
      <selection pane="bottomLeft" activeCell="A1" sqref="A1"/>
    </sheetView>
  </sheetViews>
  <sheetFormatPr baseColWidth="8" defaultRowHeight="15"/>
  <cols>
    <col width="9" customWidth="1" min="1" max="1"/>
    <col width="14" customWidth="1" min="2" max="2"/>
    <col width="11" customWidth="1" min="3" max="3"/>
    <col width="11" customWidth="1" min="4" max="4"/>
    <col width="11" customWidth="1" min="5" max="5"/>
    <col width="18" customWidth="1" min="6" max="6"/>
  </cols>
  <sheetData>
    <row r="1">
      <c r="A1" s="1" t="s">
        <v>39</v>
      </c>
    </row>
    <row r="2">
      <c r="A2" s="2" t="s">
        <v>40</v>
      </c>
    </row>
    <row r="4">
      <c r="A4" s="3" t="s">
        <v>2</v>
      </c>
      <c r="B4" s="3" t="s">
        <v>3</v>
      </c>
      <c r="C4" s="3" t="s">
        <v>41</v>
      </c>
      <c r="D4" s="3" t="s">
        <v>42</v>
      </c>
      <c r="E4" s="3" t="s">
        <v>43</v>
      </c>
      <c r="F4" s="3" t="s">
        <v>44</v>
      </c>
    </row>
    <row r="5">
      <c r="A5" s="4" t="s">
        <v>9</v>
      </c>
      <c r="B5" s="4" t="s">
        <v>10</v>
      </c>
      <c r="C5" s="6">
        <v>79</v>
      </c>
      <c r="D5" s="6">
        <v>42</v>
      </c>
      <c r="E5" s="10">
        <v>0.596</v>
      </c>
      <c r="F5" s="6">
        <v>96</v>
      </c>
    </row>
    <row r="6">
      <c r="A6" s="4" t="s">
        <v>16</v>
      </c>
      <c r="B6" s="4" t="s">
        <v>17</v>
      </c>
      <c r="C6" s="6">
        <v>83</v>
      </c>
      <c r="D6" s="6">
        <v>35</v>
      </c>
      <c r="E6" s="10">
        <v>0.499</v>
      </c>
      <c r="F6" s="6">
        <v>78</v>
      </c>
    </row>
    <row r="7">
      <c r="A7" s="4" t="s">
        <v>18</v>
      </c>
      <c r="B7" s="4" t="s">
        <v>19</v>
      </c>
      <c r="C7" s="6">
        <v>120</v>
      </c>
      <c r="D7" s="6">
        <v>55</v>
      </c>
      <c r="E7" s="10">
        <v>0.487</v>
      </c>
      <c r="F7" s="6">
        <v>120</v>
      </c>
    </row>
    <row r="8">
      <c r="A8" s="4" t="s">
        <v>20</v>
      </c>
      <c r="B8" s="4" t="s">
        <v>21</v>
      </c>
      <c r="C8" s="6">
        <v>145</v>
      </c>
      <c r="D8" s="6">
        <v>70</v>
      </c>
      <c r="E8" s="10">
        <v>0.527</v>
      </c>
      <c r="F8" s="6">
        <v>169</v>
      </c>
    </row>
    <row r="9">
      <c r="A9" s="4" t="s">
        <v>22</v>
      </c>
      <c r="B9" s="4" t="s">
        <v>23</v>
      </c>
      <c r="C9" s="6">
        <v>1656</v>
      </c>
      <c r="D9" s="6">
        <v>764</v>
      </c>
      <c r="E9" s="10">
        <v>0.502</v>
      </c>
      <c r="F9" s="6">
        <v>1660</v>
      </c>
    </row>
    <row r="10">
      <c r="A10" s="4" t="s">
        <v>24</v>
      </c>
      <c r="B10" s="4" t="s">
        <v>25</v>
      </c>
      <c r="C10" s="6">
        <v>1413</v>
      </c>
      <c r="D10" s="6">
        <v>695</v>
      </c>
      <c r="E10" s="10">
        <v>0.536</v>
      </c>
      <c r="F10" s="6">
        <v>1602</v>
      </c>
    </row>
    <row r="11">
      <c r="A11" s="4" t="s">
        <v>26</v>
      </c>
      <c r="B11" s="4" t="s">
        <v>27</v>
      </c>
      <c r="C11" s="6">
        <v>1156</v>
      </c>
      <c r="D11" s="6">
        <v>556</v>
      </c>
      <c r="E11" s="10">
        <v>0.521</v>
      </c>
      <c r="F11" s="6">
        <v>1238</v>
      </c>
    </row>
    <row r="12">
      <c r="A12" s="4" t="s">
        <v>28</v>
      </c>
      <c r="B12" s="4" t="s">
        <v>29</v>
      </c>
      <c r="C12" s="6">
        <v>958</v>
      </c>
      <c r="D12" s="6">
        <v>452</v>
      </c>
      <c r="E12" s="10">
        <v>0.513</v>
      </c>
      <c r="F12" s="6">
        <v>987</v>
      </c>
    </row>
    <row r="13">
      <c r="A13" s="4" t="s">
        <v>30</v>
      </c>
      <c r="B13" s="4" t="s">
        <v>31</v>
      </c>
      <c r="C13" s="6">
        <v>759</v>
      </c>
      <c r="D13" s="6">
        <v>397</v>
      </c>
      <c r="E13" s="10">
        <v>0.5589999999999999</v>
      </c>
      <c r="F13" s="6">
        <v>873</v>
      </c>
    </row>
    <row r="14">
      <c r="A14" s="4" t="s">
        <v>32</v>
      </c>
      <c r="B14" s="4" t="s">
        <v>33</v>
      </c>
      <c r="C14" s="6">
        <v>615</v>
      </c>
      <c r="D14" s="6">
        <v>310</v>
      </c>
      <c r="E14" s="10">
        <v>0.5479999999999999</v>
      </c>
      <c r="F14" s="6">
        <v>728</v>
      </c>
    </row>
    <row r="15">
      <c r="A15" s="4" t="s">
        <v>34</v>
      </c>
      <c r="B15" s="4" t="s">
        <v>35</v>
      </c>
      <c r="C15" s="6">
        <v>459</v>
      </c>
      <c r="D15" s="6">
        <v>203</v>
      </c>
      <c r="E15" s="10">
        <v>0.5</v>
      </c>
      <c r="F15" s="6">
        <v>454</v>
      </c>
    </row>
    <row r="16">
      <c r="A16" s="4" t="s">
        <v>36</v>
      </c>
      <c r="B16" s="4" t="s">
        <v>37</v>
      </c>
      <c r="C16" s="6">
        <v>380</v>
      </c>
      <c r="D16" s="6">
        <v>185</v>
      </c>
      <c r="E16" s="10">
        <v>0.544</v>
      </c>
      <c r="F16" s="6">
        <v>425</v>
      </c>
    </row>
    <row r="17">
      <c r="A17" s="11" t="s">
        <v>45</v>
      </c>
      <c r="B17" s="11" t="s">
        <v>46</v>
      </c>
      <c r="C17" s="12">
        <v>7823</v>
      </c>
      <c r="D17" s="12">
        <v>3764</v>
      </c>
      <c r="E17" s="13">
        <v>0.525</v>
      </c>
      <c r="F17" s="12">
        <v>8430</v>
      </c>
    </row>
  </sheetData>
  <pageMargins left="0.7" right="0.7" top="0.75" bottom="0.75" header="0.3" footer="0.3"/>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16"/>
  <sheetViews>
    <sheetView workbookViewId="0">
      <pane ySplit="4" topLeftCell="A5" activePane="bottomLeft" state="frozen"/>
      <selection pane="bottomLeft" activeCell="A1" sqref="A1"/>
    </sheetView>
  </sheetViews>
  <sheetFormatPr baseColWidth="8" defaultRowHeight="15"/>
  <cols>
    <col width="14" customWidth="1" min="1" max="1"/>
    <col width="17" customWidth="1" min="2" max="2"/>
    <col width="17" customWidth="1" min="3" max="3"/>
    <col width="17" customWidth="1" min="4" max="4"/>
    <col width="19" customWidth="1" min="5" max="5"/>
    <col width="13" customWidth="1" min="6" max="6"/>
  </cols>
  <sheetData>
    <row r="1">
      <c r="A1" s="1" t="s">
        <v>47</v>
      </c>
    </row>
    <row r="2">
      <c r="A2" s="2" t="s">
        <v>48</v>
      </c>
    </row>
    <row r="4">
      <c r="A4" s="14" t="s">
        <v>2</v>
      </c>
      <c r="B4" s="14" t="s">
        <v>11</v>
      </c>
      <c r="C4" s="14" t="s">
        <v>12</v>
      </c>
      <c r="D4" s="14" t="s">
        <v>13</v>
      </c>
      <c r="E4" s="14" t="s">
        <v>15</v>
      </c>
      <c r="F4" s="14" t="s">
        <v>49</v>
      </c>
    </row>
    <row r="5">
      <c r="A5" t="s">
        <v>10</v>
      </c>
      <c r="B5" s="15">
        <v>5</v>
      </c>
      <c r="C5" s="15">
        <v>18.4</v>
      </c>
      <c r="D5" s="15">
        <v>27.6</v>
      </c>
      <c r="E5" s="15">
        <v>30.1</v>
      </c>
      <c r="F5" s="15">
        <v>20</v>
      </c>
    </row>
    <row r="6">
      <c r="A6" t="s">
        <v>17</v>
      </c>
      <c r="B6" s="15">
        <v>7.5</v>
      </c>
      <c r="C6" s="15">
        <v>32.7</v>
      </c>
      <c r="D6" s="15">
        <v>48.7</v>
      </c>
      <c r="E6" s="15">
        <v>39.4</v>
      </c>
      <c r="F6" s="15">
        <v>20</v>
      </c>
    </row>
    <row r="7">
      <c r="A7" t="s">
        <v>19</v>
      </c>
      <c r="B7" s="15">
        <v>8.4</v>
      </c>
      <c r="C7" s="15">
        <v>16.5</v>
      </c>
      <c r="D7" s="15">
        <v>38.6</v>
      </c>
      <c r="E7" s="15">
        <v>30</v>
      </c>
      <c r="F7" s="15">
        <v>20</v>
      </c>
    </row>
    <row r="8">
      <c r="A8" t="s">
        <v>21</v>
      </c>
      <c r="B8" s="15">
        <v>6.5</v>
      </c>
      <c r="C8" s="15">
        <v>12.6</v>
      </c>
      <c r="D8" s="15">
        <v>34.3</v>
      </c>
      <c r="E8" s="15">
        <v>28.1</v>
      </c>
      <c r="F8" s="15">
        <v>20</v>
      </c>
    </row>
    <row r="9">
      <c r="A9" t="s">
        <v>23</v>
      </c>
      <c r="B9" s="15">
        <v>2.2</v>
      </c>
      <c r="C9" s="15">
        <v>6.2</v>
      </c>
      <c r="D9" s="15">
        <v>8</v>
      </c>
      <c r="E9" s="15">
        <v>10.1</v>
      </c>
      <c r="F9" s="15">
        <v>20</v>
      </c>
    </row>
    <row r="10">
      <c r="A10" t="s">
        <v>25</v>
      </c>
      <c r="B10" s="15">
        <v>1.9</v>
      </c>
      <c r="C10" s="15">
        <v>6.5</v>
      </c>
      <c r="D10" s="15">
        <v>9.300000000000001</v>
      </c>
      <c r="E10" s="15">
        <v>10.1</v>
      </c>
      <c r="F10" s="15">
        <v>20</v>
      </c>
    </row>
    <row r="11">
      <c r="A11" t="s">
        <v>27</v>
      </c>
      <c r="B11" s="15">
        <v>2.4</v>
      </c>
      <c r="C11" s="15">
        <v>6.8</v>
      </c>
      <c r="D11" s="15">
        <v>9.4</v>
      </c>
      <c r="E11" s="15">
        <v>10.2</v>
      </c>
      <c r="F11" s="15">
        <v>20</v>
      </c>
    </row>
    <row r="12">
      <c r="A12" t="s">
        <v>29</v>
      </c>
      <c r="B12" s="15">
        <v>2.8</v>
      </c>
      <c r="C12" s="15">
        <v>9.699999999999999</v>
      </c>
      <c r="D12" s="15">
        <v>9.4</v>
      </c>
      <c r="E12" s="15">
        <v>12.2</v>
      </c>
      <c r="F12" s="15">
        <v>20</v>
      </c>
    </row>
    <row r="13">
      <c r="A13" t="s">
        <v>31</v>
      </c>
      <c r="B13" s="15">
        <v>2.8</v>
      </c>
      <c r="C13" s="15">
        <v>10.7</v>
      </c>
      <c r="D13" s="15">
        <v>9.5</v>
      </c>
      <c r="E13" s="15">
        <v>14.3</v>
      </c>
      <c r="F13" s="15">
        <v>20</v>
      </c>
    </row>
    <row r="14">
      <c r="A14" t="s">
        <v>33</v>
      </c>
      <c r="B14" s="15">
        <v>3.7</v>
      </c>
      <c r="C14" s="15">
        <v>10.1</v>
      </c>
      <c r="D14" s="15">
        <v>9.1</v>
      </c>
      <c r="E14" s="15">
        <v>11.7</v>
      </c>
      <c r="F14" s="15">
        <v>20</v>
      </c>
    </row>
    <row r="15">
      <c r="A15" t="s">
        <v>35</v>
      </c>
      <c r="B15" s="15">
        <v>4.6</v>
      </c>
      <c r="C15" s="15">
        <v>15.1</v>
      </c>
      <c r="D15" s="15">
        <v>14.2</v>
      </c>
      <c r="E15" s="15">
        <v>14</v>
      </c>
      <c r="F15" s="15">
        <v>20</v>
      </c>
    </row>
    <row r="16">
      <c r="A16" t="s">
        <v>37</v>
      </c>
      <c r="B16" s="15">
        <v>3</v>
      </c>
      <c r="C16" s="15">
        <v>12.4</v>
      </c>
      <c r="D16" s="15">
        <v>12.8</v>
      </c>
      <c r="E16" s="15">
        <v>14.1</v>
      </c>
      <c r="F16" s="15">
        <v>20</v>
      </c>
    </row>
  </sheetData>
  <pageMargins left="0.7" right="0.7" top="0.75" bottom="0.75" header="0.3" footer="0.3"/>
  <pageSetup orientation="landscape"/>
  <drawing xmlns:r="http://schemas.openxmlformats.org/officeDocument/2006/relationships" r:id="rId1"/>
</worksheet>
</file>

<file path=xl/worksheets/sheet4.xml><?xml version="1.0" encoding="utf-8"?>
<worksheet xmlns="http://schemas.openxmlformats.org/spreadsheetml/2006/main">
  <dimension ref="A1:A10"/>
  <sheetViews>
    <sheetView workbookViewId="0">
      <selection activeCell="A1" sqref="A1"/>
    </sheetView>
  </sheetViews>
  <sheetFormatPr baseColWidth="8" defaultRowHeight="15"/>
  <cols>
    <col width="110" customWidth="1" min="1" max="1"/>
  </cols>
  <sheetData>
    <row r="1">
      <c r="A1" s="16" t="s">
        <v>50</v>
      </c>
    </row>
    <row r="3">
      <c r="A3" s="17" t="s">
        <v>51</v>
      </c>
    </row>
    <row r="4">
      <c r="A4" s="17" t="s">
        <v>52</v>
      </c>
    </row>
    <row r="5">
      <c r="A5" s="17" t="s">
        <v>53</v>
      </c>
    </row>
    <row r="6">
      <c r="A6" s="17" t="s">
        <v>54</v>
      </c>
    </row>
    <row r="7">
      <c r="A7" s="17" t="s">
        <v>55</v>
      </c>
    </row>
    <row r="8">
      <c r="A8" s="17" t="s">
        <v>56</v>
      </c>
    </row>
    <row r="9">
      <c r="A9" s="17" t="s">
        <v>57</v>
      </c>
    </row>
    <row r="10">
      <c r="A10" s="17"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Estimates</vt:lpstr>
      <vt:lpstr>Fieldwork</vt:lpstr>
      <vt:lpstr>Chart</vt:lpstr>
      <vt:lpstr>Notes</vt:lpstr>
    </vt:vector>
  </TitlesOfParts>
  <Company>Larchmere Social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Larchmere Social Research</dc:creator>
  <cp:lastModifiedBy>Larchmere Social Research</cp:lastModifiedBy>
  <dcterms:created xsi:type="dcterms:W3CDTF">2027-12-02T15:10:00Z</dcterms:created>
  <dcterms:modified xsi:type="dcterms:W3CDTF">2027-12-03T19:25:00Z</dcterms:modified>
</cp:coreProperties>
</file>