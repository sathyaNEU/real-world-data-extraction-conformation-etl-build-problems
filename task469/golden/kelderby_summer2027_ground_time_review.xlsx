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B3AC76A-2BB0-55A4-AA79-ED0D702C2039}"/>
  </bookViews>
  <sheets>
    <sheet name="Review" sheetId="1" r:id="rId1"/>
    <sheet name="Need curves" sheetId="2" r:id="rId2"/>
    <sheet name="Summer 2027 peak week" sheetId="3" r:id="rId3"/>
    <sheet name="Notes" sheetId="4" r:id="rId4"/>
  </sheets>
  <definedNames>
    <definedName name="_xlnm.Print_Titles" localSheetId="0">'Review'!$4:$4</definedName>
    <definedName name="_xlnm.Print_Area" localSheetId="0">'Review'!$A$1:$I$14</definedName>
    <definedName name="_xlnm.Print_Titles" localSheetId="1">'Need curves'!$2:$2</definedName>
    <definedName name="_xlnm.Print_Area" localSheetId="1">'Need curves'!$A$1:$H$43</definedName>
    <definedName name="_xlnm.Print_Titles" localSheetId="2">'Summer 2027 peak week'!$4:$4</definedName>
    <definedName name="_xlnm.Print_Area" localSheetId="2">'Summer 2027 peak week'!$A$1:$F$13</definedName>
    <definedName name="_xlnm.Print_Titles" localSheetId="3">'Notes'!$1:$1</definedName>
    <definedName name="_xlnm.Print_Area" localSheetId="3">'Notes'!$A$1:$B$9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<sst xmlns="http://schemas.openxmlformats.org/spreadsheetml/2006/main" count="91" uniqueCount="54">
  <si>
    <t>Three of the six summer 2027 ground times filed for the E gates fall short of SFG-3 and go back</t>
  </si>
  <si>
    <t>Airside Performance for the Schedule Facilitation Committee, 18 November 2026; prepared 29 October 2026. SFG-3 s.3: a filing is accepted when no more than 20% of the relationship's turns at the E gates from 15 June to 15 September 2026 would need longer than it.</t>
  </si>
  <si>
    <t>Brand</t>
  </si>
  <si>
    <t>Operator</t>
  </si>
  <si>
    <t>Aircraft type</t>
  </si>
  <si>
    <t>Filed ground time (min)</t>
  </si>
  <si>
    <t>Peak 2026 turns</t>
  </si>
  <si>
    <t>Turns that held their departure (need seen in full)</t>
  </si>
  <si>
    <t>Share needing longer than the filing</t>
  </si>
  <si>
    <t>Decision</t>
  </si>
  <si>
    <t>Shortest ground time accepted (min)</t>
  </si>
  <si>
    <t>Norvale Connect</t>
  </si>
  <si>
    <t>Pellmont Aviation</t>
  </si>
  <si>
    <t>Embraer 175</t>
  </si>
  <si>
    <t>Send back</t>
  </si>
  <si>
    <t>Grayling Air</t>
  </si>
  <si>
    <t>ATR 72-600</t>
  </si>
  <si>
    <t>Accept</t>
  </si>
  <si>
    <t>Sable Coast Air</t>
  </si>
  <si>
    <t>Dash 8-400</t>
  </si>
  <si>
    <t>Tellura Express</t>
  </si>
  <si>
    <t>All six relationships</t>
  </si>
  <si>
    <t>Sent back: Norvale Connect / Pellmont Aviation Embraer 175 at 35 minutes; Tellura Express / Pellmont Aviation Embraer 175 at 40 minutes; Tellura Express / Sable Coast Air Dash 8-400 at 30 minutes. Each carrier may refile the shortest ground time in column I (SFG-3 s.3.3); the other three filings stand.</t>
  </si>
  <si>
    <t>A turn ready before its scheduled departure waited for it, so the stand log shows only that it needed no longer than the time it had; the shares are product-limit estimates on that basis (see Notes).</t>
  </si>
  <si>
    <t>Pellmont's E175s for both brands and Tellura's Q400s stay above 20% at the ground times they filed</t>
  </si>
  <si>
    <t>Ground time (min)</t>
  </si>
  <si>
    <t>Norvale Connect / Pellmont E175</t>
  </si>
  <si>
    <t>Norvale Connect / Grayling ATR 72</t>
  </si>
  <si>
    <t>Norvale Connect / Sable Coast Q400</t>
  </si>
  <si>
    <t>Tellura Express / Pellmont E175</t>
  </si>
  <si>
    <t>Tellura Express / Sable Coast Q400</t>
  </si>
  <si>
    <t>Grayling Air ATR 72</t>
  </si>
  <si>
    <t>SFG-3 standard (20%)</t>
  </si>
  <si>
    <t>Share of each relationship's turns at the E gates, 15 June to 15 September 2026, that would need longer than the ground time; product-limit estimates (Notes).</t>
  </si>
  <si>
    <t>Every relationship's July 2027 submission already schedules turns under its own filed ground time</t>
  </si>
  <si>
    <t>Turns the summer 2027 initial submissions schedule at Kelderby, Monday 12 to Sunday 18 July 2027. Each aircraft once: where a brand files a partner's rotation again under its own numbers (the same legs, times and type, numbers the 2026 season schedule never carried), the turns are the operating flights'. A turn is an arrival and the same aircraft's next departure on the same operating day; through stops included, night stops not.</t>
  </si>
  <si>
    <t>Turns scheduled</t>
  </si>
  <si>
    <t>Of which shorter than the filed ground time</t>
  </si>
  <si>
    <t>The turns under the filing are the through stops, which each carrier schedules shorter than its filed minimum.</t>
  </si>
  <si>
    <t>Notes</t>
  </si>
  <si>
    <t>Standard</t>
  </si>
  <si>
    <t>SFG-3 issue 3, s.3.1 to 3.3: no more than 20% of a relationship's turns would need longer than its filing, judged on its turns at the E gates with on-block from 15 June to 15 September 2026; ground times in multiples of five minutes.</t>
  </si>
  <si>
    <t>Turn</t>
  </si>
  <si>
    <t>An aircraft's on-block at an E gate stand and its next off-block on the same operating day, 03:00 to 02:59 (s.2.2). 85 towed turns are kept to their off-block on the remote stand; 222 turns that began on a remote stand are outside s.3.2.</t>
  </si>
  <si>
    <t>Relationship</t>
  </si>
  <si>
    <t>The departing flight's: the callsign's number in the affiliate register's blocks and the registration's type in the regional aircraft register (s.2.1).</t>
  </si>
  <si>
    <t>Need</t>
  </si>
  <si>
    <t>From on-block to ready for pushback (s.2.4). Where the turn held its departure, the time it had (scheduled departure less on-block) plus the minutes coded aircraft not ready; minutes a ready aircraft was held (ATC, stand, weather, connections) are left out. Where it was ready in time, the need is known only to be no longer than the time it had.</t>
  </si>
  <si>
    <t>Estimate</t>
  </si>
  <si>
    <t>Under the 2026 schedules most turns had more time than the carriers now file, so their need above the new ground times was not recorded. The shares are product-limit estimates for needs censored in this way; the share among the turns that had less than the ground time, each of which shows whether it needed longer, gives the same decisions and shortest ground times.</t>
  </si>
  <si>
    <t>Delay codes</t>
  </si>
  <si>
    <t>Grouped as kdy_delay_code_groups.csv sets out (s.2.5); Sable Coast's AHM 731 letters dropped. Pellmont's log is in UTC, read at UTC-4.</t>
  </si>
  <si>
    <t>Sources</t>
  </si>
  <si>
    <t>Stand log export of 2 October 2026; Pellmont, Sable Coast and Grayling flight logs; affiliate register (July 2026); regional aircraft register; filings and initial submissions received 1 to 9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</si>
</sst>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DCE6F1"/>
        <bgColor indexed="64"/>
      </patternFill>
    </fill>
    <fill>
      <patternFill patternType="solid">
        <fgColor rgb="FFF8CBAD"/>
        <bgColor indexed="64"/>
      </patternFill>
    </fill>
    <fill>
      <patternFill patternType="solid">
        <fgColor rgb="FFE2EFD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2" fillId="2" borderId="1" xfId="0" applyFont="1" applyFill="1" applyAlignment="1">
      <alignment vertical="top" wrapText="1"/>
    </xf>
    <xf numFmtId="0" fontId="0" fillId="0" borderId="1" xfId="0"/>
    <xf numFmtId="3" fontId="0" fillId="0" borderId="1" xfId="0" applyNumberFormat="1"/>
    <xf numFmtId="9" fontId="0" fillId="0" borderId="1" xfId="0" applyNumberFormat="1"/>
    <xf numFmtId="0" fontId="2" fillId="3" borderId="1" xfId="0" applyFont="1" applyFill="1"/>
    <xf numFmtId="0" fontId="2" fillId="4" borderId="1" xfId="0" applyFont="1" applyFill="1"/>
    <xf numFmtId="0" fontId="2" fillId="0" borderId="1" xfId="0" applyFont="1"/>
    <xf numFmtId="0" fontId="3" fillId="0" borderId="0" xfId="0" applyFont="1"/>
    <xf numFmtId="9" fontId="0" fillId="0" borderId="0" xfId="0" applyNumberFormat="1"/>
    <xf numFmtId="0" fontId="0" fillId="0" borderId="0" xfId="0"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2026 peak turns needing longer than the ground time</a:t>
            </a:r>
          </a:p>
        </rich>
      </tx>
    </title>
    <plotArea>
      <lineChart>
        <grouping val="standard"/>
        <ser>
          <idx val="0"/>
          <order val="0"/>
          <tx>
            <strRef>
              <f>'Need curves'!B2</f>
            </strRef>
          </tx>
          <spPr>
            <a:ln xmlns:a="http://schemas.openxmlformats.org/drawingml/2006/main" w="28000">
              <a:solidFill>
                <a:srgbClr val="C0392B"/>
              </a:solidFill>
              <a:prstDash val="solid"/>
            </a:ln>
          </spPr>
          <marker>
            <symbol val="none"/>
            <spPr>
              <a:ln xmlns:a="http://schemas.openxmlformats.org/drawingml/2006/main">
                <a:prstDash val="solid"/>
              </a:ln>
            </spPr>
          </marker>
          <cat>
            <numRef>
              <f>'Need curves'!$A$3:$A$11</f>
            </numRef>
          </cat>
          <val>
            <numRef>
              <f>'Need curves'!$B$3:$B$11</f>
            </numRef>
          </val>
          <smooth val="0"/>
        </ser>
        <ser>
          <idx val="1"/>
          <order val="1"/>
          <tx>
            <strRef>
              <f>'Need curves'!C2</f>
            </strRef>
          </tx>
          <spPr>
            <a:ln xmlns:a="http://schemas.openxmlformats.org/drawingml/2006/main" w="19000">
              <a:solidFill>
                <a:srgbClr val="2E86C1"/>
              </a:solidFill>
              <a:prstDash val="solid"/>
            </a:ln>
          </spPr>
          <marker>
            <symbol val="none"/>
            <spPr>
              <a:ln xmlns:a="http://schemas.openxmlformats.org/drawingml/2006/main">
                <a:prstDash val="solid"/>
              </a:ln>
            </spPr>
          </marker>
          <cat>
            <numRef>
              <f>'Need curves'!$A$3:$A$11</f>
            </numRef>
          </cat>
          <val>
            <numRef>
              <f>'Need curves'!$C$3:$C$11</f>
            </numRef>
          </val>
          <smooth val="0"/>
        </ser>
        <ser>
          <idx val="2"/>
          <order val="2"/>
          <tx>
            <strRef>
              <f>'Need curves'!D2</f>
            </strRef>
          </tx>
          <spPr>
            <a:ln xmlns:a="http://schemas.openxmlformats.org/drawingml/2006/main" w="19000">
              <a:solidFill>
                <a:srgbClr val="17A589"/>
              </a:solidFill>
              <a:prstDash val="solid"/>
            </a:ln>
          </spPr>
          <marker>
            <symbol val="none"/>
            <spPr>
              <a:ln xmlns:a="http://schemas.openxmlformats.org/drawingml/2006/main">
                <a:prstDash val="solid"/>
              </a:ln>
            </spPr>
          </marker>
          <cat>
            <numRef>
              <f>'Need curves'!$A$3:$A$11</f>
            </numRef>
          </cat>
          <val>
            <numRef>
              <f>'Need curves'!$D$3:$D$11</f>
            </numRef>
          </val>
          <smooth val="0"/>
        </ser>
        <ser>
          <idx val="3"/>
          <order val="3"/>
          <tx>
            <strRef>
              <f>'Need curves'!E2</f>
            </strRef>
          </tx>
          <spPr>
            <a:ln xmlns:a="http://schemas.openxmlformats.org/drawingml/2006/main" w="28000">
              <a:solidFill>
                <a:srgbClr val="E67E22"/>
              </a:solidFill>
              <a:prstDash val="solid"/>
            </a:ln>
          </spPr>
          <marker>
            <symbol val="none"/>
            <spPr>
              <a:ln xmlns:a="http://schemas.openxmlformats.org/drawingml/2006/main">
                <a:prstDash val="solid"/>
              </a:ln>
            </spPr>
          </marker>
          <cat>
            <numRef>
              <f>'Need curves'!$A$3:$A$11</f>
            </numRef>
          </cat>
          <val>
            <numRef>
              <f>'Need curves'!$E$3:$E$11</f>
            </numRef>
          </val>
          <smooth val="0"/>
        </ser>
        <ser>
          <idx val="4"/>
          <order val="4"/>
          <tx>
            <strRef>
              <f>'Need curves'!F2</f>
            </strRef>
          </tx>
          <spPr>
            <a:ln xmlns:a="http://schemas.openxmlformats.org/drawingml/2006/main" w="28000">
              <a:solidFill>
                <a:srgbClr val="8E44AD"/>
              </a:solidFill>
              <a:prstDash val="solid"/>
            </a:ln>
          </spPr>
          <marker>
            <symbol val="none"/>
            <spPr>
              <a:ln xmlns:a="http://schemas.openxmlformats.org/drawingml/2006/main">
                <a:prstDash val="solid"/>
              </a:ln>
            </spPr>
          </marker>
          <cat>
            <numRef>
              <f>'Need curves'!$A$3:$A$11</f>
            </numRef>
          </cat>
          <val>
            <numRef>
              <f>'Need curves'!$F$3:$F$11</f>
            </numRef>
          </val>
          <smooth val="0"/>
        </ser>
        <ser>
          <idx val="5"/>
          <order val="5"/>
          <tx>
            <strRef>
              <f>'Need curves'!G2</f>
            </strRef>
          </tx>
          <spPr>
            <a:ln xmlns:a="http://schemas.openxmlformats.org/drawingml/2006/main" w="19000">
              <a:solidFill>
                <a:srgbClr val="7F8C8D"/>
              </a:solidFill>
              <a:prstDash val="solid"/>
            </a:ln>
          </spPr>
          <marker>
            <symbol val="none"/>
            <spPr>
              <a:ln xmlns:a="http://schemas.openxmlformats.org/drawingml/2006/main">
                <a:prstDash val="solid"/>
              </a:ln>
            </spPr>
          </marker>
          <cat>
            <numRef>
              <f>'Need curves'!$A$3:$A$11</f>
            </numRef>
          </cat>
          <val>
            <numRef>
              <f>'Need curves'!$G$3:$G$11</f>
            </numRef>
          </val>
          <smooth val="0"/>
        </ser>
        <ser>
          <idx val="6"/>
          <order val="6"/>
          <tx>
            <strRef>
              <f>'Need curves'!H2</f>
            </strRef>
          </tx>
          <spPr>
            <a:ln xmlns:a="http://schemas.openxmlformats.org/drawingml/2006/main" w="15000">
              <a:solidFill>
                <a:srgbClr val="404040"/>
              </a:solidFill>
              <a:prstDash val="dash"/>
            </a:ln>
          </spPr>
          <marker>
            <symbol val="none"/>
            <spPr>
              <a:ln xmlns:a="http://schemas.openxmlformats.org/drawingml/2006/main">
                <a:prstDash val="solid"/>
              </a:ln>
            </spPr>
          </marker>
          <cat>
            <numRef>
              <f>'Need curves'!$A$3:$A$11</f>
            </numRef>
          </cat>
          <val>
            <numRef>
              <f>'Need curves'!$H$3:$H$11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Ground time (minutes)</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Share of turns</a:t>
                </a:r>
              </a:p>
            </rich>
          </tx>
        </title>
        <numFmt formatCode="0%" sourceLinked="0"/>
        <majorTickMark val="none"/>
        <minorTickMark val="none"/>
        <crossAx val="10"/>
        <majorUnit val="0.2"/>
      </valAx>
    </plotArea>
    <legend>
      <legendPos val="r"/>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Relationships>
</file>

<file path=xl/drawings/drawing1.xml><?xml version="1.0" encoding="utf-8"?>
<wsDr xmlns="http://schemas.openxmlformats.org/drawingml/2006/spreadsheetDrawing">
  <oneCellAnchor>
    <from>
      <col>0</col>
      <colOff>0</colOff>
      <row>13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6893-768A-531A-B33C-F8D1BF30CC16}">
  <dimension ref="A1:I14"/>
  <sheetViews>
    <sheetView tabSelected="1" workbookViewId="0">
      <pane ySplit="4" topLeftCell="A5" activePane="bottomLeft" state="frozen"/>
      <selection pane="bottomLeft" activeCell="A1" sqref="A1"/>
    </sheetView>
  </sheetViews>
  <sheetFormatPr defaultRowHeight="15" x14ac:dyDescent="0.25"/>
  <cols>
    <col min="1" max="1" width="17.7109375" customWidth="1"/>
    <col min="2" max="2" width="18.7109375" customWidth="1"/>
    <col min="3" max="3" width="14.7109375" customWidth="1"/>
    <col min="4" max="4" width="12.7109375" customWidth="1"/>
    <col min="5" max="5" width="11.7109375" customWidth="1"/>
    <col min="6" max="6" width="17.7109375" customWidth="1"/>
    <col min="7" max="7" width="14.7109375" customWidth="1"/>
    <col min="8" max="8" width="11.7109375" customWidth="1"/>
    <col min="9" max="9" width="15.7109375" customWidth="1"/>
  </cols>
  <sheetData>
    <row r="1" spans="1:9" x14ac:dyDescent="0.25">
      <c r="A1" s="1" t="s">
        <v>0</v>
      </c>
    </row>
    <row r="2" spans="1:9" ht="30" customHeight="1" x14ac:dyDescent="0.25">
      <c r="A2" s="2" t="s">
        <v>1</v>
      </c>
    </row>
    <row r="4" spans="1:9" ht="45" customHeight="1" x14ac:dyDescent="0.25">
      <c r="A4" s="3" t="s">
        <v>2</v>
      </c>
      <c r="B4" s="3" t="s">
        <v>3</v>
      </c>
      <c r="C4" s="3" t="s">
        <v>4</v>
      </c>
      <c r="D4" s="3" t="s">
        <v>5</v>
      </c>
      <c r="E4" s="3" t="s">
        <v>6</v>
      </c>
      <c r="F4" s="3" t="s">
        <v>7</v>
      </c>
      <c r="G4" s="3" t="s">
        <v>8</v>
      </c>
      <c r="H4" s="3" t="s">
        <v>9</v>
      </c>
      <c r="I4" s="3" t="s">
        <v>10</v>
      </c>
    </row>
    <row r="5" spans="1:9" x14ac:dyDescent="0.25">
      <c r="A5" s="4" t="s">
        <v>11</v>
      </c>
      <c r="B5" s="4" t="s">
        <v>12</v>
      </c>
      <c r="C5" s="4" t="s">
        <v>13</v>
      </c>
      <c r="D5" s="4">
        <v>35</v>
      </c>
      <c r="E5" s="5">
        <v>2731</v>
      </c>
      <c r="F5" s="5">
        <v>401</v>
      </c>
      <c r="G5" s="6">
        <v>0.2703164643585174</v>
      </c>
      <c r="H5" s="7" t="s">
        <v>14</v>
      </c>
      <c r="I5" s="4">
        <v>40</v>
      </c>
    </row>
    <row r="6" spans="1:9" x14ac:dyDescent="0.25">
      <c r="A6" s="4" t="s">
        <v>11</v>
      </c>
      <c r="B6" s="4" t="s">
        <v>15</v>
      </c>
      <c r="C6" s="4" t="s">
        <v>16</v>
      </c>
      <c r="D6" s="4">
        <v>40</v>
      </c>
      <c r="E6" s="5">
        <v>1114</v>
      </c>
      <c r="F6" s="5">
        <v>140</v>
      </c>
      <c r="G6" s="6">
        <v>0.06308786590943039</v>
      </c>
      <c r="H6" s="8" t="s">
        <v>17</v>
      </c>
      <c r="I6" s="4">
        <v>40</v>
      </c>
    </row>
    <row r="7" spans="1:9" x14ac:dyDescent="0.25">
      <c r="A7" s="4" t="s">
        <v>11</v>
      </c>
      <c r="B7" s="4" t="s">
        <v>18</v>
      </c>
      <c r="C7" s="4" t="s">
        <v>19</v>
      </c>
      <c r="D7" s="4">
        <v>30</v>
      </c>
      <c r="E7" s="5">
        <v>2398</v>
      </c>
      <c r="F7" s="5">
        <v>277</v>
      </c>
      <c r="G7" s="6">
        <v>0.06994420513349997</v>
      </c>
      <c r="H7" s="8" t="s">
        <v>17</v>
      </c>
      <c r="I7" s="4">
        <v>30</v>
      </c>
    </row>
    <row r="8" spans="1:9" x14ac:dyDescent="0.25">
      <c r="A8" s="4" t="s">
        <v>20</v>
      </c>
      <c r="B8" s="4" t="s">
        <v>12</v>
      </c>
      <c r="C8" s="4" t="s">
        <v>13</v>
      </c>
      <c r="D8" s="4">
        <v>40</v>
      </c>
      <c r="E8" s="5">
        <v>1023</v>
      </c>
      <c r="F8" s="5">
        <v>195</v>
      </c>
      <c r="G8" s="6">
        <v>0.2634771665877027</v>
      </c>
      <c r="H8" s="7" t="s">
        <v>14</v>
      </c>
      <c r="I8" s="4">
        <v>45</v>
      </c>
    </row>
    <row r="9" spans="1:9" x14ac:dyDescent="0.25">
      <c r="A9" s="4" t="s">
        <v>20</v>
      </c>
      <c r="B9" s="4" t="s">
        <v>18</v>
      </c>
      <c r="C9" s="4" t="s">
        <v>19</v>
      </c>
      <c r="D9" s="4">
        <v>30</v>
      </c>
      <c r="E9" s="5">
        <v>930</v>
      </c>
      <c r="F9" s="5">
        <v>114</v>
      </c>
      <c r="G9" s="6">
        <v>0.3063841456235534</v>
      </c>
      <c r="H9" s="7" t="s">
        <v>14</v>
      </c>
      <c r="I9" s="4">
        <v>35</v>
      </c>
    </row>
    <row r="10" spans="1:9" x14ac:dyDescent="0.25">
      <c r="A10" s="4" t="s">
        <v>15</v>
      </c>
      <c r="B10" s="4" t="s">
        <v>15</v>
      </c>
      <c r="C10" s="4" t="s">
        <v>16</v>
      </c>
      <c r="D10" s="4">
        <v>35</v>
      </c>
      <c r="E10" s="5">
        <v>1016</v>
      </c>
      <c r="F10" s="5">
        <v>104</v>
      </c>
      <c r="G10" s="6">
        <v>0.00694444444444442</v>
      </c>
      <c r="H10" s="8" t="s">
        <v>17</v>
      </c>
      <c r="I10" s="4">
        <v>30</v>
      </c>
    </row>
    <row r="11" spans="1:9" x14ac:dyDescent="0.25">
      <c r="A11" s="9" t="s">
        <v>21</v>
      </c>
      <c r="B11" s="4"/>
      <c r="C11" s="4"/>
      <c r="D11" s="4"/>
      <c r="E11" s="5">
        <v>9212</v>
      </c>
      <c r="F11" s="5">
        <v>1231</v>
      </c>
      <c r="G11" s="4"/>
      <c r="H11" s="4"/>
      <c r="I11" s="4"/>
    </row>
    <row r="13" spans="1:9" ht="32" customHeight="1" x14ac:dyDescent="0.25">
      <c r="A13" s="2" t="s">
        <v>22</v>
      </c>
    </row>
    <row r="14" spans="1:9" ht="32" customHeight="1" x14ac:dyDescent="0.25">
      <c r="A14" s="2" t="s">
        <v>23</v>
      </c>
    </row>
  </sheetData>
  <mergeCells count="3">
    <mergeCell ref="A14:I14"/>
    <mergeCell ref="A13:I13"/>
    <mergeCell ref="A2:I2"/>
  </mergeCells>
  <pageMargins left="0.7" right="0.7" top="0.75" bottom="0.75" header="0.3" footer="0.3"/>
  <pageSetup orientation="landscape" fitToHeight="1"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4D06-A185-517C-BB58-D10178ECADCA}">
  <dimension ref="A1:H1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1.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3.7109375" customWidth="1"/>
  </cols>
  <sheetData>
    <row r="1" spans="1:8" x14ac:dyDescent="0.25">
      <c r="A1" s="10" t="s">
        <v>24</v>
      </c>
    </row>
    <row r="2" spans="1:8" ht="45" customHeight="1" x14ac:dyDescent="0.25">
      <c r="A2" s="3" t="s">
        <v>25</v>
      </c>
      <c r="B2" s="3" t="s">
        <v>26</v>
      </c>
      <c r="C2" s="3" t="s">
        <v>27</v>
      </c>
      <c r="D2" s="3" t="s">
        <v>28</v>
      </c>
      <c r="E2" s="3" t="s">
        <v>29</v>
      </c>
      <c r="F2" s="3" t="s">
        <v>30</v>
      </c>
      <c r="G2" s="3" t="s">
        <v>31</v>
      </c>
      <c r="H2" s="3" t="s">
        <v>32</v>
      </c>
    </row>
    <row r="3" spans="1:8" x14ac:dyDescent="0.25">
      <c r="A3">
        <v>20</v>
      </c>
      <c r="B3" s="11">
        <v>0.9915773232110991</v>
      </c>
      <c r="C3" s="11">
        <v>1</v>
      </c>
      <c r="D3" s="11">
        <v>0.7141846367319178</v>
      </c>
      <c r="E3" s="11">
        <v>1</v>
      </c>
      <c r="F3" s="11">
        <v>1</v>
      </c>
      <c r="G3" s="11">
        <v>0.889491212436499</v>
      </c>
      <c r="H3" s="11">
        <v>0.2</v>
      </c>
    </row>
    <row r="4" spans="1:8" x14ac:dyDescent="0.25">
      <c r="A4">
        <v>25</v>
      </c>
      <c r="B4" s="11">
        <v>0.896336285675066</v>
      </c>
      <c r="C4" s="11">
        <v>0.9303641362739729</v>
      </c>
      <c r="D4" s="11">
        <v>0.290313084967286</v>
      </c>
      <c r="E4" s="11">
        <v>1</v>
      </c>
      <c r="F4" s="11">
        <v>0.8648974547227066</v>
      </c>
      <c r="G4" s="11">
        <v>0.3045707722344523</v>
      </c>
      <c r="H4" s="11">
        <v>0.2</v>
      </c>
    </row>
    <row r="5" spans="1:8" x14ac:dyDescent="0.25">
      <c r="A5">
        <v>30</v>
      </c>
      <c r="B5" s="11">
        <v>0.6060040536735116</v>
      </c>
      <c r="C5" s="11">
        <v>0.5963138334723063</v>
      </c>
      <c r="D5" s="11">
        <v>0.06994420513349997</v>
      </c>
      <c r="E5" s="11">
        <v>0.9419724170544571</v>
      </c>
      <c r="F5" s="11">
        <v>0.3063841456235534</v>
      </c>
      <c r="G5" s="11">
        <v>0.08294670761368372</v>
      </c>
      <c r="H5" s="11">
        <v>0.2</v>
      </c>
    </row>
    <row r="6" spans="1:8" x14ac:dyDescent="0.25">
      <c r="A6">
        <v>35</v>
      </c>
      <c r="B6" s="11">
        <v>0.2703164643585174</v>
      </c>
      <c r="C6" s="11">
        <v>0.3112831923181316</v>
      </c>
      <c r="D6" s="11">
        <v>0.01129291059407522</v>
      </c>
      <c r="E6" s="11">
        <v>0.6293459772732223</v>
      </c>
      <c r="F6" s="11">
        <v>0.04731486198743329</v>
      </c>
      <c r="G6" s="11">
        <v>0.00694444444444442</v>
      </c>
      <c r="H6" s="11">
        <v>0.2</v>
      </c>
    </row>
    <row r="7" spans="1:8" x14ac:dyDescent="0.25">
      <c r="A7">
        <v>40</v>
      </c>
      <c r="B7" s="11">
        <v>0.07621164596240138</v>
      </c>
      <c r="C7" s="11">
        <v>0.06308786590943039</v>
      </c>
      <c r="D7" s="11">
        <v>0.003975643014101582</v>
      </c>
      <c r="E7" s="11">
        <v>0.2634771665877027</v>
      </c>
      <c r="F7" s="11">
        <v>0</v>
      </c>
      <c r="G7" s="11">
        <v>0</v>
      </c>
      <c r="H7" s="11">
        <v>0.2</v>
      </c>
    </row>
    <row r="8" spans="1:8" x14ac:dyDescent="0.25">
      <c r="A8">
        <v>45</v>
      </c>
      <c r="B8" s="11">
        <v>0.01765657854699243</v>
      </c>
      <c r="C8" s="11">
        <v>0.01251710690848851</v>
      </c>
      <c r="D8" s="11">
        <v>0.001251216654101106</v>
      </c>
      <c r="E8" s="11">
        <v>0.06318717097404425</v>
      </c>
      <c r="F8" s="11">
        <v>0</v>
      </c>
      <c r="G8" s="11">
        <v>0</v>
      </c>
      <c r="H8" s="11">
        <v>0.2</v>
      </c>
    </row>
    <row r="9" spans="1:8" x14ac:dyDescent="0.25">
      <c r="A9">
        <v>50</v>
      </c>
      <c r="B9" s="11">
        <v>0.002155093650624607</v>
      </c>
      <c r="C9" s="11">
        <v>0.001104972375690627</v>
      </c>
      <c r="D9" s="11">
        <v>0.001251216654101106</v>
      </c>
      <c r="E9" s="11">
        <v>0.01015687863565651</v>
      </c>
      <c r="F9" s="11">
        <v>0</v>
      </c>
      <c r="G9" s="11">
        <v>0</v>
      </c>
      <c r="H9" s="11">
        <v>0.2</v>
      </c>
    </row>
    <row r="10" spans="1:8" x14ac:dyDescent="0.25">
      <c r="A10">
        <v>55</v>
      </c>
      <c r="B10" s="11">
        <v>0.0007687879190469982</v>
      </c>
      <c r="C10" s="11">
        <v>0</v>
      </c>
      <c r="D10" s="11">
        <v>0.001251216654101106</v>
      </c>
      <c r="E10" s="11">
        <v>0.00135317997293638</v>
      </c>
      <c r="F10" s="11">
        <v>0</v>
      </c>
      <c r="G10" s="11">
        <v>0</v>
      </c>
      <c r="H10" s="11">
        <v>0.2</v>
      </c>
    </row>
    <row r="11" spans="1:8" x14ac:dyDescent="0.25">
      <c r="A11">
        <v>60</v>
      </c>
      <c r="B11" s="11">
        <v>0.0003703703703703543</v>
      </c>
      <c r="C11" s="11">
        <v>0</v>
      </c>
      <c r="D11" s="11">
        <v>0.001251216654101106</v>
      </c>
      <c r="E11" s="11">
        <v>0</v>
      </c>
      <c r="F11" s="11">
        <v>0</v>
      </c>
      <c r="G11" s="11">
        <v>0</v>
      </c>
      <c r="H11" s="11">
        <v>0.2</v>
      </c>
    </row>
    <row r="12" spans="1:8" ht="30" customHeight="1" x14ac:dyDescent="0.25">
      <c r="A12" s="2" t="s">
        <v>33</v>
      </c>
    </row>
  </sheetData>
  <mergeCells count="1">
    <mergeCell ref="A12:H12"/>
  </mergeCells>
  <pageMargins left="0.7" right="0.7" top="0.75" bottom="0.75" header="0.3" footer="0.3"/>
  <pageSetup orientation="landscape" fitToHeight="1" fitToWidth="1"/>
  <drawing xmlns:r="http://schemas.openxmlformats.org/officeDocument/2006/relationships"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32E6-C12F-55D4-8FE4-A841270AAF86}">
  <dimension ref="A1:F13"/>
  <sheetViews>
    <sheetView workbookViewId="0">
      <pane ySplit="4" topLeftCell="A5" activePane="bottomLeft" state="frozen"/>
      <selection pane="bottomLeft" activeCell="A1" sqref="A1"/>
    </sheetView>
  </sheetViews>
  <sheetFormatPr defaultRowHeight="15" x14ac:dyDescent="0.25"/>
  <cols>
    <col min="1" max="1" width="17.7109375" customWidth="1"/>
    <col min="2" max="2" width="18.7109375" customWidth="1"/>
    <col min="3" max="3" width="14.7109375" customWidth="1"/>
    <col min="4" max="4" width="12.7109375" customWidth="1"/>
    <col min="5" max="5" width="12.7109375" customWidth="1"/>
    <col min="6" max="6" width="20.7109375" customWidth="1"/>
  </cols>
  <sheetData>
    <row r="1" spans="1:6" x14ac:dyDescent="0.25">
      <c r="A1" s="10" t="s">
        <v>34</v>
      </c>
    </row>
    <row r="2" spans="1:6" ht="58" customHeight="1" x14ac:dyDescent="0.25">
      <c r="A2" s="2" t="s">
        <v>35</v>
      </c>
    </row>
    <row r="4" spans="1:6" ht="30" customHeight="1" x14ac:dyDescent="0.25">
      <c r="A4" s="3" t="s">
        <v>2</v>
      </c>
      <c r="B4" s="3" t="s">
        <v>3</v>
      </c>
      <c r="C4" s="3" t="s">
        <v>4</v>
      </c>
      <c r="D4" s="3" t="s">
        <v>5</v>
      </c>
      <c r="E4" s="3" t="s">
        <v>36</v>
      </c>
      <c r="F4" s="3" t="s">
        <v>37</v>
      </c>
    </row>
    <row r="5" spans="1:6" x14ac:dyDescent="0.25">
      <c r="A5" s="4" t="s">
        <v>11</v>
      </c>
      <c r="B5" s="4" t="s">
        <v>12</v>
      </c>
      <c r="C5" s="4" t="s">
        <v>13</v>
      </c>
      <c r="D5" s="4">
        <v>35</v>
      </c>
      <c r="E5" s="4">
        <v>213</v>
      </c>
      <c r="F5" s="4">
        <v>42</v>
      </c>
    </row>
    <row r="6" spans="1:6" x14ac:dyDescent="0.25">
      <c r="A6" s="4" t="s">
        <v>11</v>
      </c>
      <c r="B6" s="4" t="s">
        <v>15</v>
      </c>
      <c r="C6" s="4" t="s">
        <v>16</v>
      </c>
      <c r="D6" s="4">
        <v>40</v>
      </c>
      <c r="E6" s="4">
        <v>84</v>
      </c>
      <c r="F6" s="4">
        <v>21</v>
      </c>
    </row>
    <row r="7" spans="1:6" x14ac:dyDescent="0.25">
      <c r="A7" s="4" t="s">
        <v>11</v>
      </c>
      <c r="B7" s="4" t="s">
        <v>18</v>
      </c>
      <c r="C7" s="4" t="s">
        <v>19</v>
      </c>
      <c r="D7" s="4">
        <v>30</v>
      </c>
      <c r="E7" s="4">
        <v>189</v>
      </c>
      <c r="F7" s="4">
        <v>42</v>
      </c>
    </row>
    <row r="8" spans="1:6" x14ac:dyDescent="0.25">
      <c r="A8" s="4" t="s">
        <v>20</v>
      </c>
      <c r="B8" s="4" t="s">
        <v>12</v>
      </c>
      <c r="C8" s="4" t="s">
        <v>13</v>
      </c>
      <c r="D8" s="4">
        <v>40</v>
      </c>
      <c r="E8" s="4">
        <v>105</v>
      </c>
      <c r="F8" s="4">
        <v>28</v>
      </c>
    </row>
    <row r="9" spans="1:6" x14ac:dyDescent="0.25">
      <c r="A9" s="4" t="s">
        <v>20</v>
      </c>
      <c r="B9" s="4" t="s">
        <v>18</v>
      </c>
      <c r="C9" s="4" t="s">
        <v>19</v>
      </c>
      <c r="D9" s="4">
        <v>30</v>
      </c>
      <c r="E9" s="4">
        <v>91</v>
      </c>
      <c r="F9" s="4">
        <v>28</v>
      </c>
    </row>
    <row r="10" spans="1:6" x14ac:dyDescent="0.25">
      <c r="A10" s="4" t="s">
        <v>15</v>
      </c>
      <c r="B10" s="4" t="s">
        <v>15</v>
      </c>
      <c r="C10" s="4" t="s">
        <v>16</v>
      </c>
      <c r="D10" s="4">
        <v>35</v>
      </c>
      <c r="E10" s="4">
        <v>77</v>
      </c>
      <c r="F10" s="4">
        <v>21</v>
      </c>
    </row>
    <row r="11" spans="1:6" x14ac:dyDescent="0.25">
      <c r="A11" s="9" t="s">
        <v>21</v>
      </c>
      <c r="B11" s="4"/>
      <c r="C11" s="4"/>
      <c r="D11" s="4"/>
      <c r="E11" s="4">
        <v>759</v>
      </c>
      <c r="F11" s="4">
        <v>182</v>
      </c>
    </row>
    <row r="13" spans="1:6" x14ac:dyDescent="0.25">
      <c r="A13" s="12" t="s">
        <v>38</v>
      </c>
    </row>
  </sheetData>
  <mergeCells count="1">
    <mergeCell ref="A2:F2"/>
  </mergeCells>
  <pageMargins left="0.7" right="0.7" top="0.75" bottom="0.75" header="0.3" footer="0.3"/>
  <pageSetup orientation="landscape" fitToHeight="1"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082B-A0C2-51A2-AA8F-AB775DEF7604}">
  <dimension ref="A1:B9"/>
  <sheetViews>
    <sheetView workbookViewId="0">
      <selection activeCell="A1" sqref="A1"/>
    </sheetView>
  </sheetViews>
  <sheetFormatPr defaultRowHeight="15" x14ac:dyDescent="0.25"/>
  <cols>
    <col min="1" max="1" width="14.7109375" customWidth="1"/>
    <col min="2" max="2" width="100.7109375" customWidth="1"/>
  </cols>
  <sheetData>
    <row r="1" spans="1:2" x14ac:dyDescent="0.25">
      <c r="A1" s="10" t="s">
        <v>39</v>
      </c>
    </row>
    <row r="3" spans="1:2" ht="45" customHeight="1" x14ac:dyDescent="0.25">
      <c r="A3" s="13" t="s">
        <v>40</v>
      </c>
      <c r="B3" s="2" t="s">
        <v>41</v>
      </c>
    </row>
    <row r="4" spans="1:2" ht="45" customHeight="1" x14ac:dyDescent="0.25">
      <c r="A4" s="13" t="s">
        <v>42</v>
      </c>
      <c r="B4" s="2" t="s">
        <v>43</v>
      </c>
    </row>
    <row r="5" spans="1:2" ht="30" customHeight="1" x14ac:dyDescent="0.25">
      <c r="A5" s="13" t="s">
        <v>44</v>
      </c>
      <c r="B5" s="2" t="s">
        <v>45</v>
      </c>
    </row>
    <row r="6" spans="1:2" ht="60" customHeight="1" x14ac:dyDescent="0.25">
      <c r="A6" s="13" t="s">
        <v>46</v>
      </c>
      <c r="B6" s="2" t="s">
        <v>47</v>
      </c>
    </row>
    <row r="7" spans="1:2" ht="60" customHeight="1" x14ac:dyDescent="0.25">
      <c r="A7" s="13" t="s">
        <v>48</v>
      </c>
      <c r="B7" s="2" t="s">
        <v>49</v>
      </c>
    </row>
    <row r="8" spans="1:2" ht="30" customHeight="1" x14ac:dyDescent="0.25">
      <c r="A8" s="13" t="s">
        <v>50</v>
      </c>
      <c r="B8" s="2" t="s">
        <v>51</v>
      </c>
    </row>
    <row r="9" spans="1:2" ht="45" customHeight="1" x14ac:dyDescent="0.25">
      <c r="A9" s="13" t="s">
        <v>52</v>
      </c>
      <c r="B9" s="2" t="s">
        <v>53</v>
      </c>
    </row>
  </sheetData>
  <pageMargins left="0.7" right="0.7" top="0.75" bottom="0.75" header="0.3" footer="0.3"/>
  <pageSetup orientation="landscape" fitToHeight="1"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Review</vt:lpstr>
      <vt:lpstr>Need curves</vt:lpstr>
      <vt:lpstr>Summer 2027 peak week</vt:lpstr>
      <vt:lpstr>Notes</vt:lpstr>
    </vt:vector>
  </TitlesOfParts>
  <Company>Kelderby Airport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Armstrong</dc:creator>
  <cp:lastModifiedBy>Gabriela Armstrong</cp:lastModifiedBy>
  <dcterms:created xsi:type="dcterms:W3CDTF">2026-10-26T13:05:00Z</dcterms:created>
  <dcterms:modified xsi:type="dcterms:W3CDTF">2026-10-29T20:31:00Z</dcterms:modified>
</cp:coreProperties>
</file>