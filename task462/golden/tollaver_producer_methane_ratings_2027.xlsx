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7 ratings" sheetId="1" state="visible" r:id="rId1"/>
    <sheet xmlns:r="http://schemas.openxmlformats.org/officeDocument/2006/relationships" name="Intensity chart" sheetId="2" state="visible" r:id="rId2"/>
    <sheet xmlns:r="http://schemas.openxmlformats.org/officeDocument/2006/relationships" name="Detection curve" sheetId="3" state="visible" r:id="rId3"/>
    <sheet xmlns:r="http://schemas.openxmlformats.org/officeDocument/2006/relationships" name="Sources" sheetId="4" state="visible" r:id="rId4"/>
  </sheets>
  <definedNames>
    <definedName name="_xlnm.Print_Titles" localSheetId="0">'2027 ratings'!$4:$4</definedName>
  </definedNames>
  <calcPr calcId="124519" fullCalcOnLoad="1"/>
</workbook>
</file>

<file path=xl/sharedStrings.xml><?xml version="1.0" encoding="utf-8"?>
<sst xmlns="http://schemas.openxmlformats.org/spreadsheetml/2006/main" count="110" uniqueCount="86">
  <si>
    <t>Tollaver Basin 2027 low-methane ratings: Calbrent Energy, Ostrel Energy, Corrandale Petroleum and Brushy Mesa Operating</t>
  </si>
  <si>
    <t>Measured methane intensity over the rating year 1 October 2025 to 30 September 2026, TMR-STD-03 v1.1: rated low-methane at 0.20 per cent or less (3.1). Methane in metric tonnes; gas in million cubic feet at 14.73 psia.</t>
  </si>
  <si>
    <t>Producer</t>
  </si>
  <si>
    <t>Operator no.</t>
  </si>
  <si>
    <t>Methane emitted (t)</t>
  </si>
  <si>
    <t>Measured methane intensity (%)</t>
  </si>
  <si>
    <t>2027 rating</t>
  </si>
  <si>
    <t>Gas delivered to the plant (MMcf)</t>
  </si>
  <si>
    <t>Gas flared (MMcf)</t>
  </si>
  <si>
    <t>Anchell Oil &amp; Gas</t>
  </si>
  <si>
    <t>OP-17765</t>
  </si>
  <si>
    <t>Not rated</t>
  </si>
  <si>
    <t>Ashmund Production</t>
  </si>
  <si>
    <t>OP-27703</t>
  </si>
  <si>
    <t>Brushy Mesa Operating</t>
  </si>
  <si>
    <t>OP-19852</t>
  </si>
  <si>
    <t>Low-methane</t>
  </si>
  <si>
    <t>Calbrent Energy</t>
  </si>
  <si>
    <t>OP-21407</t>
  </si>
  <si>
    <t>Corrandale Petroleum</t>
  </si>
  <si>
    <t>OP-22094</t>
  </si>
  <si>
    <t>Lechuza Creek Resources</t>
  </si>
  <si>
    <t>OP-24631</t>
  </si>
  <si>
    <t>Marrowind Operating</t>
  </si>
  <si>
    <t>OP-25510</t>
  </si>
  <si>
    <t>Ostrel Energy</t>
  </si>
  <si>
    <t>OP-20389</t>
  </si>
  <si>
    <t>Pellisto Gas Partners</t>
  </si>
  <si>
    <t>OP-26147</t>
  </si>
  <si>
    <t>Pinyon Draw Production</t>
  </si>
  <si>
    <t>OP-23318</t>
  </si>
  <si>
    <t>Ruskmoor Exploration</t>
  </si>
  <si>
    <t>OP-18820</t>
  </si>
  <si>
    <t>Sunmere Natural Gas</t>
  </si>
  <si>
    <t>OP-21976</t>
  </si>
  <si>
    <t>Twelve producers</t>
  </si>
  <si>
    <t>4 rated</t>
  </si>
  <si>
    <t>Rated: Calbrent Energy 0.104; Ostrel Energy 0.108; Corrandale Petroleum 0.119; Brushy Mesa Operating 0.134. Nearest the line: Brushy Mesa Operating at 0.134 per cent among the rated, Ashmund Production at 0.232 per cent among the rest.</t>
  </si>
  <si>
    <t>Methane emitted (TMR-STD-03 2.5, 4.2, 4.3): each plume Talmora reported at 5 kg/h or more, attributed to the register site nearest it within 150 m, counted at its rate divided by the chance that a pass detects a plume of that rate, since a pass does not detect every plume (Talmora TA-TN-26-07, 2.1). The chance is Talmora's logistic curve in the log of the rate fitted by maximum likelihood to the 182 controlled releases (96 detected): 50 per cent at 8.0 kg/h, 90 per cent at 23.9 kg/h. A site's rate on a pass is the sum of its counted plumes, in a campaign the mean of the passes that imaged it, and over each operator's part of the year the mean of its campaigns in that part, times that part's hours.</t>
  </si>
  <si>
    <t>Methane produced (2.3, 2.4): the latest report for each well and month, to the operator of record that month, gas at the commission's 14.65 psia restated to 14.73, times the field's 2026 composite methane share and 19.2 kg per Mcf.</t>
  </si>
  <si>
    <t>Gas delivered: the plant's statement lines for production months October 2025 to September 2026, the month taken from each line's reference (prior-period adjustments booked in later statements included), the March 2026 statement at revision 2, and the two stations metering energy only from July 2026 restated to Mcf at each station's heating value for the month; stations to producers through the plant's station list.</t>
  </si>
  <si>
    <t>Gas flared: the commission's reports for October 2025 to September 2026 under codes FL and, from January 2026, FR (routine flaring, which the commission's basin summary counts as flared), the latest report for each lease, month and code, each lease to its operator of record in the month (lease register).</t>
  </si>
  <si>
    <t>Measured methane intensity by producer, rating year to 30 September 2026, against the 0.20 per cent line</t>
  </si>
  <si>
    <t>Rating line (%)</t>
  </si>
  <si>
    <t>Talmora's chance of detecting a plume, fitted to its 2025 controlled releases</t>
  </si>
  <si>
    <t>Logistic curve in ln(rate, kg/h), maximum likelihood</t>
  </si>
  <si>
    <t>Intercept</t>
  </si>
  <si>
    <t>Slope on ln(rate)</t>
  </si>
  <si>
    <t>Rate detected half the time (kg/h)</t>
  </si>
  <si>
    <t>Rate detected nine times in ten (kg/h)</t>
  </si>
  <si>
    <t>Plume rate (kg/h)</t>
  </si>
  <si>
    <t>Chance a pass detects it (%)</t>
  </si>
  <si>
    <t>Source: talmora_controlled_release_study_2025.xlsx, sheet Releases (182 releases, 96 detected).</t>
  </si>
  <si>
    <t>File</t>
  </si>
  <si>
    <t>Used for</t>
  </si>
  <si>
    <t>tarvane_low_methane_rating_standard_2026.pdf</t>
  </si>
  <si>
    <t>the rating, the measured methane intensity, sites, wells and the campaign average</t>
  </si>
  <si>
    <t>talmora_plume_detections_tollaver_2025_2026.csv</t>
  </si>
  <si>
    <t>each plume's origin, campaign, flight line and rate</t>
  </si>
  <si>
    <t>talmora_flight_line_coverage_tollaver_2025_2026.csv</t>
  </si>
  <si>
    <t>the sites each flight line imaged, and the lines lost to cloud</t>
  </si>
  <si>
    <t>tarvane_tollaver_site_register_2026.csv</t>
  </si>
  <si>
    <t>each site's location, facility numbers and operators</t>
  </si>
  <si>
    <t>talmora_controlled_release_study_2025.xlsx</t>
  </si>
  <si>
    <t>the detection curve</t>
  </si>
  <si>
    <t>talmora_survey_methods_note_2026.pdf</t>
  </si>
  <si>
    <t>how Talmora detects and quantifies plumes, and its detection curve's form</t>
  </si>
  <si>
    <t>ogc_well_production_tollaver_2025_2026.csv</t>
  </si>
  <si>
    <t>each well's gas by month, the operator of record and the latest report</t>
  </si>
  <si>
    <t>ogc_operator_list_2026.csv</t>
  </si>
  <si>
    <t>operator numbers and names</t>
  </si>
  <si>
    <t>tollaver_gas_composite_analyses_2024_2026.csv</t>
  </si>
  <si>
    <t>each field's methane share, 2026 composites</t>
  </si>
  <si>
    <t>tollaver_plant_allocation_statements_2025_2026.csv</t>
  </si>
  <si>
    <t>gas delivered to the plant</t>
  </si>
  <si>
    <t>tollaver_plant_meter_stations_2026.csv</t>
  </si>
  <si>
    <t>each station's producer and metering</t>
  </si>
  <si>
    <t>tollaver_plant_station_heating_values_2025_2026.csv</t>
  </si>
  <si>
    <t>heating values for the energy-only stations</t>
  </si>
  <si>
    <t>ogc_flaring_venting_reports_tollaver_2025_2026.csv</t>
  </si>
  <si>
    <t>gas flared by lease and month</t>
  </si>
  <si>
    <t>ogc_lease_register_tollaver_2026.csv</t>
  </si>
  <si>
    <t>each lease's operator of record by month</t>
  </si>
  <si>
    <t>ogc_basin_flaring_summary_2025_2026.csv</t>
  </si>
  <si>
    <t>the commission's basin totals of flared gas</t>
  </si>
  <si>
    <t>Prepared by Aaron Watkins, Head of Methane Ratings, for the ratings committee of 9 December 2026.</t>
  </si>
</sst>
</file>

<file path=xl/styles.xml><?xml version="1.0" encoding="utf-8"?>
<styleSheet xmlns="http://schemas.openxmlformats.org/spreadsheetml/2006/main">
  <numFmts count="3">
    <numFmt numFmtId="164" formatCode="0.000"/>
    <numFmt numFmtId="165" formatCode="0.0000"/>
    <numFmt numFmtId="166" formatCode="0.0"/>
  </numFmts>
  <fonts count="4">
    <font>
      <name val="Calibri"/>
      <family val="2"/>
      <color theme="1"/>
      <sz val="11"/>
      <scheme val="minor"/>
    </font>
    <font>
      <name val="Calibri"/>
      <b val="1"/>
      <color rgb="001F4E3D"/>
      <sz val="14"/>
    </font>
    <font>
      <name val="Calibri"/>
      <i val="1"/>
      <color rgb="005A5F66"/>
      <sz val="9"/>
    </font>
    <font>
      <name val="Calibri"/>
      <b val="1"/>
      <sz val="11"/>
    </font>
  </fonts>
  <fills count="4">
    <fill>
      <patternFill/>
    </fill>
    <fill>
      <patternFill patternType="gray125"/>
    </fill>
    <fill>
      <patternFill patternType="solid">
        <fgColor rgb="00DDEBE3"/>
      </patternFill>
    </fill>
    <fill>
      <patternFill patternType="solid">
        <fgColor rgb="00EAF4EC"/>
      </patternFill>
    </fill>
  </fills>
  <borders count="3">
    <border>
      <left/>
      <right/>
      <top/>
      <bottom/>
      <diagonal/>
    </border>
    <border>
      <bottom style="thin">
        <color rgb="009AA0A6"/>
      </bottom>
    </border>
    <border>
      <top style="thin">
        <color rgb="005A5F66"/>
      </top>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0" applyAlignment="1" pivotButton="0" quotePrefix="0" xfId="0">
      <alignment horizontal="center"/>
    </xf>
    <xf numFmtId="3" fontId="0" fillId="0" borderId="0" pivotButton="0" quotePrefix="0" xfId="0"/>
    <xf numFmtId="164" fontId="0" fillId="0" borderId="0" pivotButton="0" quotePrefix="0" xfId="0"/>
    <xf numFmtId="0" fontId="0" fillId="3" borderId="0" pivotButton="0" quotePrefix="0" xfId="0"/>
    <xf numFmtId="0" fontId="0" fillId="3" borderId="0" applyAlignment="1" pivotButton="0" quotePrefix="0" xfId="0">
      <alignment horizontal="center"/>
    </xf>
    <xf numFmtId="3" fontId="0" fillId="3" borderId="0" pivotButton="0" quotePrefix="0" xfId="0"/>
    <xf numFmtId="164" fontId="0" fillId="3" borderId="0" pivotButton="0" quotePrefix="0" xfId="0"/>
    <xf numFmtId="0" fontId="3" fillId="3" borderId="0" applyAlignment="1" pivotButton="0" quotePrefix="0" xfId="0">
      <alignment horizontal="center"/>
    </xf>
    <xf numFmtId="0" fontId="3" fillId="0" borderId="2" pivotButton="0" quotePrefix="0" xfId="0"/>
    <xf numFmtId="3" fontId="3" fillId="0" borderId="2" pivotButton="0" quotePrefix="0" xfId="0"/>
    <xf numFmtId="0" fontId="3" fillId="0" borderId="2" applyAlignment="1" pivotButton="0" quotePrefix="0" xfId="0">
      <alignment horizontal="center"/>
    </xf>
    <xf numFmtId="0" fontId="3" fillId="2" borderId="1" applyAlignment="1" pivotButton="0" quotePrefix="0" xfId="0">
      <alignment horizontal="center" wrapText="1"/>
    </xf>
    <xf numFmtId="2" fontId="0" fillId="0" borderId="0" pivotButton="0" quotePrefix="0" xfId="0"/>
    <xf numFmtId="0" fontId="3" fillId="0" borderId="0" pivotButton="0" quotePrefix="0" xfId="0"/>
    <xf numFmtId="165" fontId="0" fillId="0" borderId="0" pivotButton="0" quotePrefix="0" xfId="0"/>
    <xf numFmtId="166" fontId="0" fillId="0" borderId="0" pivotButton="0" quotePrefix="0" xfId="0"/>
    <xf numFmtId="0" fontId="3" fillId="2" borderId="1"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 Type="http://schemas.openxmlformats.org/officeDocument/2006/relationships/sharedStrings" Target="sharedStrings.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Four producers at or under 0.20 per cent</a:t>
            </a:r>
          </a:p>
        </rich>
      </tx>
    </title>
    <plotArea>
      <barChart>
        <barDir val="col"/>
        <grouping val="clustered"/>
        <ser>
          <idx val="0"/>
          <order val="0"/>
          <tx>
            <strRef>
              <f>'Intensity chart'!B3</f>
            </strRef>
          </tx>
          <spPr>
            <a:ln xmlns:a="http://schemas.openxmlformats.org/drawingml/2006/main">
              <a:prstDash val="solid"/>
            </a:ln>
          </spPr>
          <cat>
            <numRef>
              <f>'Intensity chart'!$A$4:$A$15</f>
            </numRef>
          </cat>
          <val>
            <numRef>
              <f>'Intensity chart'!$B$4:$B$15</f>
            </numRef>
          </val>
        </ser>
        <dLbls>
          <showVal val="1"/>
        </dLbls>
        <gapWidth val="150"/>
        <axId val="10"/>
        <axId val="100"/>
      </barChart>
      <lineChart>
        <grouping val="standard"/>
        <ser>
          <idx val="1"/>
          <order val="1"/>
          <tx>
            <strRef>
              <f>'Intensity chart'!C3</f>
            </strRef>
          </tx>
          <spPr>
            <a:ln xmlns:a="http://schemas.openxmlformats.org/drawingml/2006/main">
              <a:prstDash val="solid"/>
            </a:ln>
          </spPr>
          <marker>
            <symbol val="none"/>
            <spPr>
              <a:ln xmlns:a="http://schemas.openxmlformats.org/drawingml/2006/main">
                <a:prstDash val="solid"/>
              </a:ln>
            </spPr>
          </marker>
          <cat>
            <numRef>
              <f>'Intensity chart'!$A$4:$A$15</f>
            </numRef>
          </cat>
          <val>
            <numRef>
              <f>'Intensity chart'!$C$4:$C$15</f>
            </numRef>
          </val>
        </ser>
        <axId val="10"/>
        <axId val="100"/>
      </lineChart>
      <catAx>
        <axId val="10"/>
        <scaling>
          <orientation val="minMax"/>
        </scaling>
        <axPos val="l"/>
        <title>
          <tx>
            <rich>
              <a:bodyPr xmlns:a="http://schemas.openxmlformats.org/drawingml/2006/main"/>
              <a:p xmlns:a="http://schemas.openxmlformats.org/drawingml/2006/main">
                <a:pPr>
                  <a:defRPr/>
                </a:pPr>
                <a:r>
                  <a:t>Producer</a:t>
                </a:r>
              </a:p>
            </rich>
          </tx>
        </title>
        <majorTickMark val="none"/>
        <minorTickMark val="none"/>
        <crossAx val="100"/>
        <lblOffset val="100"/>
      </catAx>
      <valAx>
        <axId val="100"/>
        <scaling>
          <orientation val="minMax"/>
          <max val="0.45"/>
          <min val="0"/>
        </scaling>
        <axPos val="l"/>
        <majorGridlines/>
        <title>
          <tx>
            <rich>
              <a:bodyPr xmlns:a="http://schemas.openxmlformats.org/drawingml/2006/main"/>
              <a:p xmlns:a="http://schemas.openxmlformats.org/drawingml/2006/main">
                <a:pPr>
                  <a:defRPr/>
                </a:pPr>
                <a:r>
                  <a:t>Measured methane intensity (%)</a:t>
                </a:r>
              </a:p>
            </rich>
          </tx>
        </title>
        <numFmt formatCode="0.00" sourceLinked="0"/>
        <majorTickMark val="none"/>
        <minorTickMark val="none"/>
        <crossAx val="10"/>
        <majorUnit val="0.05"/>
      </valAx>
    </plotArea>
    <legend>
      <legendPos val="b"/>
    </legend>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86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7" customWidth="1" min="1" max="1"/>
    <col width="12" customWidth="1" min="2" max="2"/>
    <col width="13" customWidth="1" min="3" max="3"/>
    <col width="15" customWidth="1" min="4" max="4"/>
    <col width="13" customWidth="1" min="5" max="5"/>
    <col width="17" customWidth="1" min="6" max="6"/>
    <col width="12" customWidth="1" min="7" max="7"/>
  </cols>
  <sheetData>
    <row r="1">
      <c r="A1" s="1" t="s">
        <v>0</v>
      </c>
    </row>
    <row r="2" ht="30" customHeight="1">
      <c r="A2" s="2" t="s">
        <v>1</v>
      </c>
    </row>
    <row r="4" ht="32" customHeight="1">
      <c r="A4" s="3" t="s">
        <v>2</v>
      </c>
      <c r="B4" s="3" t="s">
        <v>3</v>
      </c>
      <c r="C4" s="3" t="s">
        <v>4</v>
      </c>
      <c r="D4" s="3" t="s">
        <v>5</v>
      </c>
      <c r="E4" s="3" t="s">
        <v>6</v>
      </c>
      <c r="F4" s="3" t="s">
        <v>7</v>
      </c>
      <c r="G4" s="3" t="s">
        <v>8</v>
      </c>
    </row>
    <row r="5">
      <c r="A5" t="s">
        <v>9</v>
      </c>
      <c r="B5" s="4" t="s">
        <v>10</v>
      </c>
      <c r="C5" s="5" t="n">
        <v>7961</v>
      </c>
      <c r="D5" s="6" t="n">
        <v>0.249</v>
      </c>
      <c r="E5" s="4" t="s">
        <v>11</v>
      </c>
      <c r="F5" s="5" t="n">
        <v>189884</v>
      </c>
      <c r="G5" s="5" t="n">
        <v>2180</v>
      </c>
    </row>
    <row r="6">
      <c r="A6" t="s">
        <v>12</v>
      </c>
      <c r="B6" s="4" t="s">
        <v>13</v>
      </c>
      <c r="C6" s="5" t="n">
        <v>19510</v>
      </c>
      <c r="D6" s="6" t="n">
        <v>0.232</v>
      </c>
      <c r="E6" s="4" t="s">
        <v>11</v>
      </c>
      <c r="F6" s="5" t="n">
        <v>486628</v>
      </c>
      <c r="G6" s="5" t="n">
        <v>5258</v>
      </c>
    </row>
    <row r="7">
      <c r="A7" s="7" t="s">
        <v>14</v>
      </c>
      <c r="B7" s="8" t="s">
        <v>15</v>
      </c>
      <c r="C7" s="9" t="n">
        <v>5895</v>
      </c>
      <c r="D7" s="10" t="n">
        <v>0.134</v>
      </c>
      <c r="E7" s="11" t="s">
        <v>16</v>
      </c>
      <c r="F7" s="9" t="n">
        <v>250229</v>
      </c>
      <c r="G7" s="9" t="n">
        <v>3238</v>
      </c>
    </row>
    <row r="8">
      <c r="A8" s="7" t="s">
        <v>17</v>
      </c>
      <c r="B8" s="8" t="s">
        <v>18</v>
      </c>
      <c r="C8" s="9" t="n">
        <v>5314</v>
      </c>
      <c r="D8" s="10" t="n">
        <v>0.104</v>
      </c>
      <c r="E8" s="11" t="s">
        <v>16</v>
      </c>
      <c r="F8" s="9" t="n">
        <v>289549</v>
      </c>
      <c r="G8" s="9" t="n">
        <v>4582</v>
      </c>
    </row>
    <row r="9">
      <c r="A9" s="7" t="s">
        <v>19</v>
      </c>
      <c r="B9" s="8" t="s">
        <v>20</v>
      </c>
      <c r="C9" s="9" t="n">
        <v>4612</v>
      </c>
      <c r="D9" s="10" t="n">
        <v>0.119</v>
      </c>
      <c r="E9" s="11" t="s">
        <v>16</v>
      </c>
      <c r="F9" s="9" t="n">
        <v>217960</v>
      </c>
      <c r="G9" s="9" t="n">
        <v>4666</v>
      </c>
    </row>
    <row r="10">
      <c r="A10" t="s">
        <v>21</v>
      </c>
      <c r="B10" s="4" t="s">
        <v>22</v>
      </c>
      <c r="C10" s="5" t="n">
        <v>19935</v>
      </c>
      <c r="D10" s="6" t="n">
        <v>0.268</v>
      </c>
      <c r="E10" s="4" t="s">
        <v>11</v>
      </c>
      <c r="F10" s="5" t="n">
        <v>431339</v>
      </c>
      <c r="G10" s="5" t="n">
        <v>4324</v>
      </c>
    </row>
    <row r="11">
      <c r="A11" t="s">
        <v>23</v>
      </c>
      <c r="B11" s="4" t="s">
        <v>24</v>
      </c>
      <c r="C11" s="5" t="n">
        <v>7058</v>
      </c>
      <c r="D11" s="6" t="n">
        <v>0.304</v>
      </c>
      <c r="E11" s="4" t="s">
        <v>11</v>
      </c>
      <c r="F11" s="5" t="n">
        <v>134458</v>
      </c>
      <c r="G11" s="5" t="n">
        <v>2524</v>
      </c>
    </row>
    <row r="12">
      <c r="A12" s="7" t="s">
        <v>25</v>
      </c>
      <c r="B12" s="8" t="s">
        <v>26</v>
      </c>
      <c r="C12" s="9" t="n">
        <v>6714</v>
      </c>
      <c r="D12" s="10" t="n">
        <v>0.108</v>
      </c>
      <c r="E12" s="11" t="s">
        <v>16</v>
      </c>
      <c r="F12" s="9" t="n">
        <v>350917</v>
      </c>
      <c r="G12" s="9" t="n">
        <v>6868</v>
      </c>
    </row>
    <row r="13">
      <c r="A13" t="s">
        <v>27</v>
      </c>
      <c r="B13" s="4" t="s">
        <v>28</v>
      </c>
      <c r="C13" s="5" t="n">
        <v>11242</v>
      </c>
      <c r="D13" s="6" t="n">
        <v>0.264</v>
      </c>
      <c r="E13" s="4" t="s">
        <v>11</v>
      </c>
      <c r="F13" s="5" t="n">
        <v>250626</v>
      </c>
      <c r="G13" s="5" t="n">
        <v>3528</v>
      </c>
    </row>
    <row r="14">
      <c r="A14" t="s">
        <v>29</v>
      </c>
      <c r="B14" s="4" t="s">
        <v>30</v>
      </c>
      <c r="C14" s="5" t="n">
        <v>11090</v>
      </c>
      <c r="D14" s="6" t="n">
        <v>0.236</v>
      </c>
      <c r="E14" s="4" t="s">
        <v>11</v>
      </c>
      <c r="F14" s="5" t="n">
        <v>275009</v>
      </c>
      <c r="G14" s="5" t="n">
        <v>3757</v>
      </c>
    </row>
    <row r="15">
      <c r="A15" t="s">
        <v>31</v>
      </c>
      <c r="B15" s="4" t="s">
        <v>32</v>
      </c>
      <c r="C15" s="5" t="n">
        <v>6446</v>
      </c>
      <c r="D15" s="6" t="n">
        <v>0.42</v>
      </c>
      <c r="E15" s="4" t="s">
        <v>11</v>
      </c>
      <c r="F15" s="5" t="n">
        <v>88158</v>
      </c>
      <c r="G15" s="5" t="n">
        <v>625</v>
      </c>
    </row>
    <row r="16">
      <c r="A16" t="s">
        <v>33</v>
      </c>
      <c r="B16" s="4" t="s">
        <v>34</v>
      </c>
      <c r="C16" s="5" t="n">
        <v>11125</v>
      </c>
      <c r="D16" s="6" t="n">
        <v>0.292</v>
      </c>
      <c r="E16" s="4" t="s">
        <v>11</v>
      </c>
      <c r="F16" s="5" t="n">
        <v>229384</v>
      </c>
      <c r="G16" s="5" t="n">
        <v>2850</v>
      </c>
    </row>
    <row r="17">
      <c r="A17" s="12" t="s">
        <v>35</v>
      </c>
      <c r="B17" s="12" t="n"/>
      <c r="C17" s="13" t="n">
        <v>116902</v>
      </c>
      <c r="D17" s="12" t="n"/>
      <c r="E17" s="14" t="s">
        <v>36</v>
      </c>
      <c r="F17" s="13" t="n">
        <v>3194142</v>
      </c>
      <c r="G17" s="13" t="n">
        <v>44401</v>
      </c>
    </row>
    <row r="19" ht="29" customHeight="1">
      <c r="A19" s="2" t="s">
        <v>37</v>
      </c>
    </row>
    <row r="20" ht="81" customHeight="1">
      <c r="A20" s="2" t="s">
        <v>38</v>
      </c>
    </row>
    <row r="21" ht="29" customHeight="1">
      <c r="A21" s="2" t="s">
        <v>39</v>
      </c>
    </row>
    <row r="22" ht="55" customHeight="1">
      <c r="A22" s="2" t="s">
        <v>40</v>
      </c>
    </row>
    <row r="23" ht="42" customHeight="1">
      <c r="A23" s="2" t="s">
        <v>41</v>
      </c>
    </row>
  </sheetData>
  <mergeCells count="6">
    <mergeCell ref="A21:G21"/>
    <mergeCell ref="A22:G22"/>
    <mergeCell ref="A20:G20"/>
    <mergeCell ref="A2:G2"/>
    <mergeCell ref="A19:G19"/>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7" customWidth="1" min="1" max="1"/>
    <col width="17" customWidth="1" min="2" max="2"/>
    <col width="11" customWidth="1" min="3" max="3"/>
  </cols>
  <sheetData>
    <row r="1">
      <c r="A1" s="1" t="s">
        <v>42</v>
      </c>
    </row>
    <row r="3">
      <c r="A3" s="15" t="s">
        <v>2</v>
      </c>
      <c r="B3" s="15" t="s">
        <v>5</v>
      </c>
      <c r="C3" s="15" t="s">
        <v>43</v>
      </c>
    </row>
    <row r="4">
      <c r="A4" t="s">
        <v>17</v>
      </c>
      <c r="B4" s="6" t="n">
        <v>0.104</v>
      </c>
      <c r="C4" s="16" t="n">
        <v>0.2</v>
      </c>
    </row>
    <row r="5">
      <c r="A5" t="s">
        <v>25</v>
      </c>
      <c r="B5" s="6" t="n">
        <v>0.108</v>
      </c>
      <c r="C5" s="16" t="n">
        <v>0.2</v>
      </c>
    </row>
    <row r="6">
      <c r="A6" t="s">
        <v>19</v>
      </c>
      <c r="B6" s="6" t="n">
        <v>0.119</v>
      </c>
      <c r="C6" s="16" t="n">
        <v>0.2</v>
      </c>
    </row>
    <row r="7">
      <c r="A7" t="s">
        <v>14</v>
      </c>
      <c r="B7" s="6" t="n">
        <v>0.134</v>
      </c>
      <c r="C7" s="16" t="n">
        <v>0.2</v>
      </c>
    </row>
    <row r="8">
      <c r="A8" t="s">
        <v>12</v>
      </c>
      <c r="B8" s="6" t="n">
        <v>0.232</v>
      </c>
      <c r="C8" s="16" t="n">
        <v>0.2</v>
      </c>
    </row>
    <row r="9">
      <c r="A9" t="s">
        <v>29</v>
      </c>
      <c r="B9" s="6" t="n">
        <v>0.236</v>
      </c>
      <c r="C9" s="16" t="n">
        <v>0.2</v>
      </c>
    </row>
    <row r="10">
      <c r="A10" t="s">
        <v>9</v>
      </c>
      <c r="B10" s="6" t="n">
        <v>0.249</v>
      </c>
      <c r="C10" s="16" t="n">
        <v>0.2</v>
      </c>
    </row>
    <row r="11">
      <c r="A11" t="s">
        <v>27</v>
      </c>
      <c r="B11" s="6" t="n">
        <v>0.264</v>
      </c>
      <c r="C11" s="16" t="n">
        <v>0.2</v>
      </c>
    </row>
    <row r="12">
      <c r="A12" t="s">
        <v>21</v>
      </c>
      <c r="B12" s="6" t="n">
        <v>0.268</v>
      </c>
      <c r="C12" s="16" t="n">
        <v>0.2</v>
      </c>
    </row>
    <row r="13">
      <c r="A13" t="s">
        <v>33</v>
      </c>
      <c r="B13" s="6" t="n">
        <v>0.292</v>
      </c>
      <c r="C13" s="16" t="n">
        <v>0.2</v>
      </c>
    </row>
    <row r="14">
      <c r="A14" t="s">
        <v>23</v>
      </c>
      <c r="B14" s="6" t="n">
        <v>0.304</v>
      </c>
      <c r="C14" s="16" t="n">
        <v>0.2</v>
      </c>
    </row>
    <row r="15">
      <c r="A15" t="s">
        <v>31</v>
      </c>
      <c r="B15" s="6" t="n">
        <v>0.42</v>
      </c>
      <c r="C15" s="16" t="n">
        <v>0.2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4" customWidth="1" min="1" max="1"/>
    <col width="26" customWidth="1" min="2" max="2"/>
  </cols>
  <sheetData>
    <row r="1">
      <c r="A1" s="1" t="s">
        <v>44</v>
      </c>
    </row>
    <row r="3">
      <c r="A3" s="17" t="s">
        <v>45</v>
      </c>
    </row>
    <row r="4">
      <c r="A4" t="s">
        <v>46</v>
      </c>
      <c r="B4" s="18" t="n">
        <v>-4.1557</v>
      </c>
    </row>
    <row r="5">
      <c r="A5" t="s">
        <v>47</v>
      </c>
      <c r="B5" s="18" t="n">
        <v>2.0027</v>
      </c>
    </row>
    <row r="6">
      <c r="A6" t="s">
        <v>48</v>
      </c>
      <c r="B6" s="19" t="n">
        <v>8</v>
      </c>
    </row>
    <row r="7">
      <c r="A7" t="s">
        <v>49</v>
      </c>
      <c r="B7" s="19" t="n">
        <v>23.9</v>
      </c>
    </row>
    <row r="9">
      <c r="A9" s="20" t="s">
        <v>50</v>
      </c>
      <c r="B9" s="20" t="s">
        <v>51</v>
      </c>
    </row>
    <row r="10">
      <c r="A10" s="19" t="n">
        <v>5</v>
      </c>
      <c r="B10" s="19" t="n">
        <v>28.2</v>
      </c>
    </row>
    <row r="11">
      <c r="A11" s="19" t="n">
        <v>7.5</v>
      </c>
      <c r="B11" s="19" t="n">
        <v>47</v>
      </c>
    </row>
    <row r="12">
      <c r="A12" s="19" t="n">
        <v>10</v>
      </c>
      <c r="B12" s="19" t="n">
        <v>61.2</v>
      </c>
    </row>
    <row r="13">
      <c r="A13" s="19" t="n">
        <v>15</v>
      </c>
      <c r="B13" s="19" t="n">
        <v>78</v>
      </c>
    </row>
    <row r="14">
      <c r="A14" s="19" t="n">
        <v>20</v>
      </c>
      <c r="B14" s="19" t="n">
        <v>86.3</v>
      </c>
    </row>
    <row r="15">
      <c r="A15" s="19" t="n">
        <v>30</v>
      </c>
      <c r="B15" s="19" t="n">
        <v>93.40000000000001</v>
      </c>
    </row>
    <row r="16">
      <c r="A16" s="19" t="n">
        <v>50</v>
      </c>
      <c r="B16" s="19" t="n">
        <v>97.5</v>
      </c>
    </row>
    <row r="17">
      <c r="A17" s="19" t="n">
        <v>100</v>
      </c>
      <c r="B17" s="19" t="n">
        <v>99.40000000000001</v>
      </c>
    </row>
    <row r="19">
      <c r="A19" s="21" t="s">
        <v>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4" customWidth="1" min="1" max="1"/>
    <col width="78" customWidth="1" min="2" max="2"/>
  </cols>
  <sheetData>
    <row r="1">
      <c r="A1" s="22" t="s">
        <v>53</v>
      </c>
      <c r="B1" s="22" t="s">
        <v>54</v>
      </c>
    </row>
    <row r="2">
      <c r="A2" t="s">
        <v>55</v>
      </c>
      <c r="B2" t="s">
        <v>56</v>
      </c>
    </row>
    <row r="3">
      <c r="A3" t="s">
        <v>57</v>
      </c>
      <c r="B3" t="s">
        <v>58</v>
      </c>
    </row>
    <row r="4">
      <c r="A4" t="s">
        <v>59</v>
      </c>
      <c r="B4" t="s">
        <v>60</v>
      </c>
    </row>
    <row r="5">
      <c r="A5" t="s">
        <v>61</v>
      </c>
      <c r="B5" t="s">
        <v>62</v>
      </c>
    </row>
    <row r="6">
      <c r="A6" t="s">
        <v>63</v>
      </c>
      <c r="B6" t="s">
        <v>64</v>
      </c>
    </row>
    <row r="7">
      <c r="A7" t="s">
        <v>65</v>
      </c>
      <c r="B7" t="s">
        <v>66</v>
      </c>
    </row>
    <row r="8">
      <c r="A8" t="s">
        <v>67</v>
      </c>
      <c r="B8" t="s">
        <v>68</v>
      </c>
    </row>
    <row r="9">
      <c r="A9" t="s">
        <v>69</v>
      </c>
      <c r="B9" t="s">
        <v>70</v>
      </c>
    </row>
    <row r="10">
      <c r="A10" t="s">
        <v>71</v>
      </c>
      <c r="B10" t="s">
        <v>72</v>
      </c>
    </row>
    <row r="11">
      <c r="A11" t="s">
        <v>73</v>
      </c>
      <c r="B11" t="s">
        <v>74</v>
      </c>
    </row>
    <row r="12">
      <c r="A12" t="s">
        <v>75</v>
      </c>
      <c r="B12" t="s">
        <v>76</v>
      </c>
    </row>
    <row r="13">
      <c r="A13" t="s">
        <v>77</v>
      </c>
      <c r="B13" t="s">
        <v>78</v>
      </c>
    </row>
    <row r="14">
      <c r="A14" t="s">
        <v>79</v>
      </c>
      <c r="B14" t="s">
        <v>80</v>
      </c>
    </row>
    <row r="15">
      <c r="A15" t="s">
        <v>81</v>
      </c>
      <c r="B15" t="s">
        <v>82</v>
      </c>
    </row>
    <row r="16">
      <c r="A16" t="s">
        <v>83</v>
      </c>
      <c r="B16" t="s">
        <v>84</v>
      </c>
    </row>
    <row r="18">
      <c r="A18" s="21" t="s">
        <v>85</v>
      </c>
    </row>
  </sheetData>
  <pageMargins left="0.75" right="0.75" top="1" bottom="1" header="0.5" footer="0.5"/>
</worksheet>
</file>

<file path=docProps/app.xml><?xml version="1.0" encoding="utf-8"?>
<Properties xmlns="http://schemas.openxmlformats.org/officeDocument/2006/extended-properties">
  <Application>Microsoft Excel</Application>
  <AppVersion>16.0300</AppVersion>
  <Company>Tarvane Methane Ratings, LLC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Watkins</dc:creator>
  <cp:lastModifiedBy>Aaron Watkins</cp:lastModifiedBy>
  <dcterms:created xsi:type="dcterms:W3CDTF">2026-11-30T15:05:00Z</dcterms:created>
  <dcterms:modified xsi:type="dcterms:W3CDTF">2026-12-03T22:18:40Z</dcterms:modified>
</cp:coreProperties>
</file>