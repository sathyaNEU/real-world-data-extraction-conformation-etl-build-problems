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CD713AE7-310C-5B4A-96AF-928D781A04DA}"/>
  </bookViews>
  <sheets>
    <sheet name="Recommendation" sheetId="1" r:id="rId1"/>
    <sheet name="Berth hours saved" sheetId="2" r:id="rId2"/>
    <sheet name="Crane condition" sheetId="3" r:id="rId3"/>
    <sheet name="Notes" sheetId="4" r:id="rId4"/>
  </sheets>
  <definedNames>
    <definedName name="_xlnm.Print_Titles" localSheetId="1">'Berth hours saved'!$1:$1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<sst xmlns="http://schemas.openxmlformats.org/spreadsheetml/2006/main" count="62" uniqueCount="51">
  <si>
    <t>Place the 2027 cranes at Millrace: 887 berth hours saved on FY2026's large-vessel calls</t>
  </si>
  <si>
    <t>To</t>
  </si>
  <si>
    <t>Board of Commissioners</t>
  </si>
  <si>
    <t>From</t>
  </si>
  <si>
    <t>Jon Hernandez, Director, Terminal Equipment</t>
  </si>
  <si>
    <t>Date</t>
  </si>
  <si>
    <t>14 October 2026, for the meeting of 27 October 2026</t>
  </si>
  <si>
    <t>Subject</t>
  </si>
  <si>
    <t>Crane Replacement Program, 2027 order (six ship-to-shore cranes): receiving terminal</t>
  </si>
  <si>
    <t>Reference</t>
  </si>
  <si>
    <t>CRP-2027-01</t>
  </si>
  <si>
    <t>Recommended terminal</t>
  </si>
  <si>
    <t>Millrace</t>
  </si>
  <si>
    <t>Berth hours saved, FY2026 large-vessel calls</t>
  </si>
  <si>
    <t>Runner-up</t>
  </si>
  <si>
    <t>Halyard</t>
  </si>
  <si>
    <t>Runner-up berth hours saved</t>
  </si>
  <si>
    <t>Lead over the runner-up, berth hours</t>
  </si>
  <si>
    <t>Finding</t>
  </si>
  <si>
    <t>Rule 3.6 counts the hours by which each call, all fast to let go, would have been shorter had its cargo work taken four fifths of the time. A ship lets go at the sailing time the pilot station gives it: the first time an hour or more after its ready-to-sail notice that the Harbor Master's Directions allow. Ships drawing 41 feet or more leave the Saltworks and Millrace berths only in the window around high water at Salt Point (9.2, 9.3), and ships of 1,250 feet or more leave the harbor berths only from 0600 to 2000 (8.1). So each call's saving is its sailing time less the sailing time it would have been given from a notice a fifth of its cargo work earlier. Saltworks' deep ships mostly finish ahead of their tide, so a faster finish would only have lengthened their wait; its year comes to 257 hours. Millrace's deep ships mostly finish just after the tide they were worked to has gone and wait for the next one; four fifths of the cargo time would have put them on the earlier tide: 887 hours, 331 ahead of Halyard.</t>
  </si>
  <si>
    <t>Terminal</t>
  </si>
  <si>
    <t>FY2026 large-vessel calls</t>
  </si>
  <si>
    <t>Sailings held for the tide or daylight</t>
  </si>
  <si>
    <t>Berth hours saved</t>
  </si>
  <si>
    <t>Pine Neck</t>
  </si>
  <si>
    <t>Ore Dock</t>
  </si>
  <si>
    <t>Gannet Point</t>
  </si>
  <si>
    <t>Saltworks</t>
  </si>
  <si>
    <t>All terminals</t>
  </si>
  <si>
    <t>Whole hours; each terminal's calls added unrounded (Rule 3.7), and the total from the unrounded terminal figures. Source: Authority and SRT TOS crane hours, pilot station sailings, Salt Point tide predictions, vessel register, Harbor Master's Directions 2025.</t>
  </si>
  <si>
    <t>Hours STS cranes stood out of service for breakdowns, FY2026</t>
  </si>
  <si>
    <t>Maintenance labor hours on STS cranes, FY2026 (staff and contractors)</t>
  </si>
  <si>
    <t>Item</t>
  </si>
  <si>
    <t>Basis</t>
  </si>
  <si>
    <t>Large vessel</t>
  </si>
  <si>
    <t>Nominal capacity of 10,000 TEU or more in the vessel register (Rule 3.2).</t>
  </si>
  <si>
    <t>Call and year</t>
  </si>
  <si>
    <t>A ship's stay alongside one terminal, all fast to let go (Rule 3.1); in FY2026 when its first container move fell from 1 July 2025 to 30 June 2026, Eastern time (Rule 3.3). SRT records UTC and was converted.</t>
  </si>
  <si>
    <t>Sailing</t>
  </si>
  <si>
    <t>Each call's sailing from the pilot station's record (its ready-to-sail notice and sailing time), matched by ship name, former name or call sign at the call's berth.</t>
  </si>
  <si>
    <t>Per call: the sailing time less the first time, an hour or more after the notice brought forward by a fifth of the cargo work, at which the Directions allow the ship to sail: Salt Point within 1 h 30 min before to 30 min after high water for drafts of 41 feet or more (9.2), on the passage times in 9.3, and 0600 to 2000 for ships of 1,250 feet or more in the harbor (8.1). Tide predictions are standard time; an hour added in daylight saving time.</t>
  </si>
  <si>
    <t>Out of service</t>
  </si>
  <si>
    <t>Breakdown periods (order type BD at the pull) from the asset status history and the SRT log; a reopened order's periods each; a crane held out on two breakdown orders at once counted once, as are February 2026's river stops held in both systems; each stop at the terminal where its crane was working at the time (three cranes moved along the common rail during the year).</t>
  </si>
  <si>
    <t>Labor</t>
  </si>
  <si>
    <t>Labor ledger hours on crane orders, SRT job hours not also in the Authority's system, and the makers' timesheet days not already keyed into the ledger (one CONTRACT line per service report, dated the visit's first day); each at the terminal where the crane was working that day; yard equipment left out.</t>
  </si>
  <si>
    <t>Let go</t>
  </si>
  <si>
    <t>A call ends at the sailing time in the pilot station's record. The AIS berth stretches close a few minutes later, when the ship's reports leave the berth polygon, and were not used.</t>
  </si>
  <si>
    <t>Clock change</t>
  </si>
  <si>
    <t>On 2 November 2025 the Authority TOS writes the 01:00 hour twice; its rows were read in file order, the first occurrence first.</t>
  </si>
  <si>
    <t>As of</t>
  </si>
  <si>
    <t>Extracts pulled 2 to 6 October 2026 (export manifest).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</si>
</sst>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Calibri"/>
      <family val="2"/>
      <scheme val="minor"/>
    </font>
    <font>
      <b/>
      <sz val="11"/>
      <color theme="1"/>
      <name val="Calibri"/>
      <family val="2"/>
      <scheme val="minor"/>
    </font>
    <font>
      <b/>
      <sz val="12"/>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DCE6F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2" fillId="0" borderId="1" xfId="0" applyFont="1"/>
    <xf numFmtId="0" fontId="0" fillId="0" borderId="1" xfId="0"/>
    <xf numFmtId="0" fontId="3" fillId="0" borderId="0" xfId="0" applyFont="1"/>
    <xf numFmtId="3" fontId="0" fillId="0" borderId="0" xfId="0" applyNumberFormat="1" applyAlignment="1">
      <alignment horizontal="left"/>
    </xf>
    <xf numFmtId="0" fontId="0" fillId="0" borderId="0" xfId="0" applyAlignment="1">
      <alignment vertical="top" wrapText="1"/>
    </xf>
    <xf numFmtId="0" fontId="2" fillId="2" borderId="0" xfId="0" applyFont="1" applyFill="1" applyAlignment="1">
      <alignment vertical="center" wrapText="1"/>
    </xf>
    <xf numFmtId="3" fontId="0" fillId="0" borderId="0" xfId="0" applyNumberFormat="1"/>
    <xf numFmtId="0" fontId="2" fillId="0" borderId="2" xfId="0" applyFont="1"/>
    <xf numFmtId="3" fontId="2" fillId="0" borderId="2" xfId="0" applyNumberFormat="1" applyFont="1"/>
    <xf numFmtId="0" fontId="4" fillId="0" borderId="0" xfId="0" applyFont="1" applyAlignment="1">
      <alignment vertical="top" wrapText="1"/>
    </xf>
    <xf numFmtId="0" fontId="2" fillId="2" borderId="0" xfId="0" applyFont="1" applyFill="1"/>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Millrace's large-vessel calls would have saved the most berth time, FY2026</a:t>
            </a:r>
          </a:p>
        </rich>
      </tx>
    </title>
    <plotArea>
      <barChart>
        <barDir val="bar"/>
        <grouping val="clustered"/>
        <ser>
          <idx val="0"/>
          <order val="0"/>
          <tx>
            <strRef>
              <f>'Berth hours saved'!D1</f>
            </strRef>
          </tx>
          <spPr>
            <a:solidFill xmlns:a="http://schemas.openxmlformats.org/drawingml/2006/main">
              <a:srgbClr val="A9AFB7"/>
            </a:solidFill>
            <a:ln xmlns:a="http://schemas.openxmlformats.org/drawingml/2006/main">
              <a:noFill/>
              <a:prstDash val="solid"/>
            </a:ln>
          </spPr>
          <dPt>
            <idx val="0"/>
            <spPr>
              <a:solidFill xmlns:a="http://schemas.openxmlformats.org/drawingml/2006/main">
                <a:srgbClr val="2A78D6"/>
              </a:solidFill>
              <a:ln xmlns:a="http://schemas.openxmlformats.org/drawingml/2006/main">
                <a:noFill/>
                <a:prstDash val="solid"/>
              </a:ln>
            </spPr>
          </dPt>
          <dLbls>
            <showLegendKey val="0"/>
            <showVal val="1"/>
            <showCatName val="0"/>
            <showSerName val="0"/>
          </dLbls>
          <cat>
            <numRef>
              <f>'Berth hours saved'!$A$2:$A$7</f>
            </numRef>
          </cat>
          <val>
            <numRef>
              <f>'Berth hours saved'!$D$2:$D$7</f>
            </numRef>
          </val>
        </ser>
        <gapWidth val="60"/>
        <axId val="10"/>
        <axId val="100"/>
      </barChart>
      <catAx>
        <axId val="10"/>
        <scaling>
          <orientation val="maxMin"/>
        </scaling>
        <delete val="0"/>
        <axPos val="l"/>
        <majorTickMark val="none"/>
        <minorTickMark val="none"/>
        <crossAx val="100"/>
        <lblOffset val="100"/>
        <tickLblSkip val="1"/>
      </catAx>
      <valAx>
        <axId val="100"/>
        <scaling>
          <orientation val="minMax"/>
        </scaling>
        <delete val="0"/>
        <axPos val="l"/>
        <title>
          <tx>
            <rich>
              <a:bodyPr xmlns:a="http://schemas.openxmlformats.org/drawingml/2006/main"/>
              <a:p xmlns:a="http://schemas.openxmlformats.org/drawingml/2006/main">
                <a:pPr>
                  <a:defRPr/>
                </a:pPr>
                <a:r>
                  <a:t>Berth hours saved</a:t>
                </a:r>
              </a:p>
            </rich>
          </tx>
        </title>
        <numFmt formatCode="#,##0" sourceLinked="0"/>
        <majorTickMark val="none"/>
        <minorTickMark val="none"/>
        <crossAx val="10"/>
        <crosses val="max"/>
      </valAx>
    </plotArea>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charts/chart1.xml" Id="rId1"/></Relationships>
</file>

<file path=xl/drawings/drawing1.xml><?xml version="1.0" encoding="utf-8"?>
<wsDr xmlns="http://schemas.openxmlformats.org/drawingml/2006/spreadsheetDrawing">
  <oneCellAnchor>
    <from>
      <col>5</col>
      <colOff>0</colOff>
      <row>1</row>
      <rowOff>0</rowOff>
    </from>
    <ext cx="5940000" cy="345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Type="http://schemas.openxmlformats.org/officeDocument/2006/relationships/drawing" Target="../drawings/drawing1.xml"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BEDF-71EF-54E9-8937-3528AEAB549C}">
  <sheetPr>
    <pageSetUpPr fitToPage="1"/>
  </sheetPr>
  <dimension ref="A1:B15"/>
  <sheetViews>
    <sheetView tabSelected="1" workbookViewId="0">
      <selection activeCell="A1" sqref="A1"/>
    </sheetView>
  </sheetViews>
  <sheetFormatPr defaultRowHeight="15" x14ac:dyDescent="0.25"/>
  <cols>
    <col min="1" max="1" width="40.7109375" customWidth="1"/>
    <col min="2" max="2" width="96.7109375" customWidth="1"/>
  </cols>
  <sheetData>
    <row r="1" spans="1:2" x14ac:dyDescent="0.25">
      <c r="A1" s="1" t="s">
        <v>0</v>
      </c>
    </row>
    <row r="3" spans="1:2" x14ac:dyDescent="0.25">
      <c r="A3" s="2" t="s">
        <v>1</v>
      </c>
      <c r="B3" t="s">
        <v>2</v>
      </c>
    </row>
    <row r="4" spans="1:2" x14ac:dyDescent="0.25">
      <c r="A4" s="2" t="s">
        <v>3</v>
      </c>
      <c r="B4" t="s">
        <v>4</v>
      </c>
    </row>
    <row r="5" spans="1:2" x14ac:dyDescent="0.25">
      <c r="A5" s="2" t="s">
        <v>5</v>
      </c>
      <c r="B5" t="s">
        <v>6</v>
      </c>
    </row>
    <row r="6" spans="1:2" x14ac:dyDescent="0.25">
      <c r="A6" s="2" t="s">
        <v>7</v>
      </c>
      <c r="B6" t="s">
        <v>8</v>
      </c>
    </row>
    <row r="7" spans="1:2" x14ac:dyDescent="0.25">
      <c r="A7" s="3" t="s">
        <v>9</v>
      </c>
      <c r="B7" s="4" t="s">
        <v>10</v>
      </c>
    </row>
    <row r="9" spans="1:2" x14ac:dyDescent="0.25">
      <c r="A9" s="2" t="s">
        <v>11</v>
      </c>
      <c r="B9" s="5" t="s">
        <v>12</v>
      </c>
    </row>
    <row r="10" spans="1:2" x14ac:dyDescent="0.25">
      <c r="A10" s="2" t="s">
        <v>13</v>
      </c>
      <c r="B10" s="6">
        <v>887</v>
      </c>
    </row>
    <row r="11" spans="1:2" x14ac:dyDescent="0.25">
      <c r="A11" s="2" t="s">
        <v>14</v>
      </c>
      <c r="B11" t="s">
        <v>15</v>
      </c>
    </row>
    <row r="12" spans="1:2" x14ac:dyDescent="0.25">
      <c r="A12" s="2" t="s">
        <v>16</v>
      </c>
      <c r="B12" s="6">
        <v>556</v>
      </c>
    </row>
    <row r="13" spans="1:2" x14ac:dyDescent="0.25">
      <c r="A13" s="2" t="s">
        <v>17</v>
      </c>
      <c r="B13" s="6">
        <v>331</v>
      </c>
    </row>
    <row r="15" spans="1:2" ht="160" customHeight="1" x14ac:dyDescent="0.25">
      <c r="A15" s="2" t="s">
        <v>18</v>
      </c>
      <c r="B15" s="7" t="s">
        <v>19</v>
      </c>
    </row>
  </sheetData>
  <pageMargins left="0.7" right="0.7" top="0.75" bottom="0.75" header="0.3" footer="0.3"/>
  <pageSetup orientation="landscape" paperSize="1"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D21E7-68A7-5A24-BFDA-1D51B5895982}">
  <sheetPr>
    <pageSetUpPr fitToPage="1"/>
  </sheetPr>
  <dimension ref="A1:D10"/>
  <sheetViews>
    <sheetView workbookViewId="0">
      <pane ySplit="1" topLeftCell="A2" activePane="bottomLeft" state="frozen"/>
      <selection pane="bottomLeft" activeCell="A1" sqref="A1"/>
    </sheetView>
  </sheetViews>
  <sheetFormatPr defaultRowHeight="15" x14ac:dyDescent="0.25"/>
  <cols>
    <col min="1" max="1" width="18.7109375" customWidth="1"/>
    <col min="2" max="2" width="15.7109375" customWidth="1"/>
    <col min="3" max="3" width="19.7109375" customWidth="1"/>
    <col min="4" max="4" width="14.7109375" customWidth="1"/>
  </cols>
  <sheetData>
    <row r="1" spans="1:4" ht="32" customHeight="1" x14ac:dyDescent="0.25">
      <c r="A1" s="8" t="s">
        <v>20</v>
      </c>
      <c r="B1" s="8" t="s">
        <v>21</v>
      </c>
      <c r="C1" s="8" t="s">
        <v>22</v>
      </c>
      <c r="D1" s="8" t="s">
        <v>23</v>
      </c>
    </row>
    <row r="2" spans="1:4" x14ac:dyDescent="0.25">
      <c r="A2" t="s">
        <v>12</v>
      </c>
      <c r="B2" s="9">
        <v>103</v>
      </c>
      <c r="C2" s="9">
        <v>76</v>
      </c>
      <c r="D2" s="9">
        <v>887</v>
      </c>
    </row>
    <row r="3" spans="1:4" x14ac:dyDescent="0.25">
      <c r="A3" t="s">
        <v>15</v>
      </c>
      <c r="B3" s="9">
        <v>117</v>
      </c>
      <c r="C3" s="9">
        <v>17</v>
      </c>
      <c r="D3" s="9">
        <v>556</v>
      </c>
    </row>
    <row r="4" spans="1:4" x14ac:dyDescent="0.25">
      <c r="A4" t="s">
        <v>24</v>
      </c>
      <c r="B4" s="9">
        <v>176</v>
      </c>
      <c r="C4" s="9">
        <v>87</v>
      </c>
      <c r="D4" s="9">
        <v>449</v>
      </c>
    </row>
    <row r="5" spans="1:4" x14ac:dyDescent="0.25">
      <c r="A5" t="s">
        <v>25</v>
      </c>
      <c r="B5" s="9">
        <v>141</v>
      </c>
      <c r="C5" s="9">
        <v>61</v>
      </c>
      <c r="D5" s="9">
        <v>423</v>
      </c>
    </row>
    <row r="6" spans="1:4" x14ac:dyDescent="0.25">
      <c r="A6" t="s">
        <v>26</v>
      </c>
      <c r="B6" s="9">
        <v>91</v>
      </c>
      <c r="C6" s="9">
        <v>10</v>
      </c>
      <c r="D6" s="9">
        <v>395</v>
      </c>
    </row>
    <row r="7" spans="1:4" x14ac:dyDescent="0.25">
      <c r="A7" t="s">
        <v>27</v>
      </c>
      <c r="B7" s="9">
        <v>156</v>
      </c>
      <c r="C7" s="9">
        <v>137</v>
      </c>
      <c r="D7" s="9">
        <v>257</v>
      </c>
    </row>
    <row r="8" spans="1:4" x14ac:dyDescent="0.25">
      <c r="A8" s="10" t="s">
        <v>28</v>
      </c>
      <c r="B8" s="11">
        <v>784</v>
      </c>
      <c r="C8" s="11">
        <v>388</v>
      </c>
      <c r="D8" s="11">
        <v>2966</v>
      </c>
    </row>
    <row r="10" spans="1:4" ht="52" customHeight="1" x14ac:dyDescent="0.25">
      <c r="A10" s="12" t="s">
        <v>29</v>
      </c>
    </row>
  </sheetData>
  <mergeCells count="1">
    <mergeCell ref="A10:D10"/>
  </mergeCells>
  <pageMargins left="0.7" right="0.7" top="0.75" bottom="0.75" header="0.3" footer="0.3"/>
  <pageSetup orientation="landscape" paperSize="1" fitToHeight="0" fitToWidth="1"/>
  <drawing xmlns:r="http://schemas.openxmlformats.org/officeDocument/2006/relationships"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ECBB-07CF-5081-845E-5D20BCDCFA38}">
  <sheetPr>
    <pageSetUpPr fitToPage="1"/>
  </sheetPr>
  <dimension ref="A1:C8"/>
  <sheetViews>
    <sheetView workbookViewId="0">
      <pane ySplit="1" topLeftCell="A2" activePane="bottomLeft" state="frozen"/>
      <selection pane="bottomLeft" activeCell="A1" sqref="A1"/>
    </sheetView>
  </sheetViews>
  <sheetFormatPr defaultRowHeight="15" x14ac:dyDescent="0.25"/>
  <cols>
    <col min="1" max="1" width="18.7109375" customWidth="1"/>
    <col min="2" max="2" width="26.7109375" customWidth="1"/>
    <col min="3" max="3" width="28.7109375" customWidth="1"/>
  </cols>
  <sheetData>
    <row r="1" spans="1:3" ht="46" customHeight="1" x14ac:dyDescent="0.25">
      <c r="A1" s="8" t="s">
        <v>20</v>
      </c>
      <c r="B1" s="8" t="s">
        <v>30</v>
      </c>
      <c r="C1" s="8" t="s">
        <v>31</v>
      </c>
    </row>
    <row r="2" spans="1:3" x14ac:dyDescent="0.25">
      <c r="A2" t="s">
        <v>25</v>
      </c>
      <c r="B2" s="9">
        <v>1273</v>
      </c>
      <c r="C2" s="9">
        <v>2981</v>
      </c>
    </row>
    <row r="3" spans="1:3" x14ac:dyDescent="0.25">
      <c r="A3" t="s">
        <v>24</v>
      </c>
      <c r="B3" s="9">
        <v>972</v>
      </c>
      <c r="C3" s="9">
        <v>3191</v>
      </c>
    </row>
    <row r="4" spans="1:3" x14ac:dyDescent="0.25">
      <c r="A4" t="s">
        <v>26</v>
      </c>
      <c r="B4" s="9">
        <v>501</v>
      </c>
      <c r="C4" s="9">
        <v>1753</v>
      </c>
    </row>
    <row r="5" spans="1:3" x14ac:dyDescent="0.25">
      <c r="A5" t="s">
        <v>15</v>
      </c>
      <c r="B5" s="9">
        <v>1121</v>
      </c>
      <c r="C5" s="9">
        <v>3061</v>
      </c>
    </row>
    <row r="6" spans="1:3" x14ac:dyDescent="0.25">
      <c r="A6" t="s">
        <v>27</v>
      </c>
      <c r="B6" s="9">
        <v>704</v>
      </c>
      <c r="C6" s="9">
        <v>2268</v>
      </c>
    </row>
    <row r="7" spans="1:3" x14ac:dyDescent="0.25">
      <c r="A7" t="s">
        <v>12</v>
      </c>
      <c r="B7" s="9">
        <v>1718</v>
      </c>
      <c r="C7" s="9">
        <v>3595</v>
      </c>
    </row>
    <row r="8" spans="1:3" x14ac:dyDescent="0.25">
      <c r="A8" s="10" t="s">
        <v>28</v>
      </c>
      <c r="B8" s="11">
        <v>6288</v>
      </c>
      <c r="C8" s="11">
        <v>16848</v>
      </c>
    </row>
  </sheetData>
  <pageMargins left="0.7" right="0.7" top="0.75" bottom="0.75" header="0.3" footer="0.3"/>
  <pageSetup orientation="landscape" paperSize="1" fitToHeight="0"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11B4-EE5A-52F1-8B72-DC64F7BDF520}">
  <sheetPr>
    <pageSetUpPr fitToPage="1"/>
  </sheetPr>
  <dimension ref="A1:B10"/>
  <sheetViews>
    <sheetView workbookViewId="0">
      <selection activeCell="A1" sqref="A1"/>
    </sheetView>
  </sheetViews>
  <sheetFormatPr defaultRowHeight="15" x14ac:dyDescent="0.25"/>
  <cols>
    <col min="1" max="1" width="18.7109375" customWidth="1"/>
    <col min="2" max="2" width="100.7109375" customWidth="1"/>
  </cols>
  <sheetData>
    <row r="1" spans="1:2" x14ac:dyDescent="0.25">
      <c r="A1" s="13" t="s">
        <v>32</v>
      </c>
      <c r="B1" s="13" t="s">
        <v>33</v>
      </c>
    </row>
    <row r="2" spans="1:2" ht="48" customHeight="1" x14ac:dyDescent="0.25">
      <c r="A2" s="14" t="s">
        <v>34</v>
      </c>
      <c r="B2" s="7" t="s">
        <v>35</v>
      </c>
    </row>
    <row r="3" spans="1:2" ht="48" customHeight="1" x14ac:dyDescent="0.25">
      <c r="A3" s="14" t="s">
        <v>36</v>
      </c>
      <c r="B3" s="7" t="s">
        <v>37</v>
      </c>
    </row>
    <row r="4" spans="1:2" ht="48" customHeight="1" x14ac:dyDescent="0.25">
      <c r="A4" s="14" t="s">
        <v>38</v>
      </c>
      <c r="B4" s="7" t="s">
        <v>39</v>
      </c>
    </row>
    <row r="5" spans="1:2" ht="48" customHeight="1" x14ac:dyDescent="0.25">
      <c r="A5" s="14" t="s">
        <v>23</v>
      </c>
      <c r="B5" s="7" t="s">
        <v>40</v>
      </c>
    </row>
    <row r="6" spans="1:2" ht="48" customHeight="1" x14ac:dyDescent="0.25">
      <c r="A6" s="14" t="s">
        <v>41</v>
      </c>
      <c r="B6" s="7" t="s">
        <v>42</v>
      </c>
    </row>
    <row r="7" spans="1:2" ht="48" customHeight="1" x14ac:dyDescent="0.25">
      <c r="A7" s="14" t="s">
        <v>43</v>
      </c>
      <c r="B7" s="7" t="s">
        <v>44</v>
      </c>
    </row>
    <row r="8" spans="1:2" ht="48" customHeight="1" x14ac:dyDescent="0.25">
      <c r="A8" s="14" t="s">
        <v>45</v>
      </c>
      <c r="B8" s="7" t="s">
        <v>46</v>
      </c>
    </row>
    <row r="9" spans="1:2" ht="48" customHeight="1" x14ac:dyDescent="0.25">
      <c r="A9" s="14" t="s">
        <v>47</v>
      </c>
      <c r="B9" s="7" t="s">
        <v>48</v>
      </c>
    </row>
    <row r="10" spans="1:2" ht="48" customHeight="1" x14ac:dyDescent="0.25">
      <c r="A10" s="14" t="s">
        <v>49</v>
      </c>
      <c r="B10" s="7" t="s">
        <v>50</v>
      </c>
    </row>
  </sheetData>
  <pageMargins left="0.7" right="0.7" top="0.75" bottom="0.75" header="0.3" footer="0.3"/>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Recommendation</vt:lpstr>
      <vt:lpstr>Berth hours saved</vt:lpstr>
      <vt:lpstr>Crane condition</vt:lpstr>
      <vt:lpstr>Notes</vt:lpstr>
    </vt:vector>
  </TitlesOfParts>
  <Company>Ternmouth Port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Hernandez</dc:creator>
  <cp:lastModifiedBy>Tanya Abbott</cp:lastModifiedBy>
  <dcterms:created xsi:type="dcterms:W3CDTF">2026-10-07T13:05:00Z</dcterms:created>
  <dcterms:modified xsi:type="dcterms:W3CDTF">2026-10-14T20:41:16Z</dcterms:modified>
</cp:coreProperties>
</file>