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 2027" sheetId="1" state="visible" r:id="rId1"/>
    <sheet xmlns:r="http://schemas.openxmlformats.org/officeDocument/2006/relationships" name="Violations 2026" sheetId="2" state="visible" r:id="rId2"/>
    <sheet xmlns:r="http://schemas.openxmlformats.org/officeDocument/2006/relationships" name="Violation collection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</font>
  </fonts>
  <fills count="3">
    <fill>
      <patternFill/>
    </fill>
    <fill>
      <patternFill patternType="gray125"/>
    </fill>
    <fill>
      <patternFill patternType="solid">
        <fgColor rgb="00DDE7EE"/>
      </patternFill>
    </fill>
  </fills>
  <borders count="2">
    <border>
      <left/>
      <right/>
      <top/>
      <bottom/>
      <diagonal/>
    </border>
    <border>
      <bottom style="thin">
        <color rgb="007F7F7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164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9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3" fontId="0" fillId="0" borderId="0" pivotButton="0" quotePrefix="0" xfId="0"/>
    <xf numFmtId="165" fontId="0" fillId="0" borderId="0" pivotButton="0" quotePrefix="0" xfId="0"/>
    <xf numFmtId="3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Toll-by-mail, cash lanes' users, 2027: $13.75 million of the $16.2 million billed will be collected</t>
        </is>
      </c>
    </row>
    <row r="2">
      <c r="A2" s="2" t="inlineStr">
        <is>
          <t>For the 2027 revenue certificate, toll-by-mail line. Basis as in programme note PN-14; records as at 31 October 2026.</t>
        </is>
      </c>
    </row>
    <row r="4" ht="32" customHeight="1">
      <c r="A4" s="3" t="inlineStr"/>
      <c r="B4" s="3" t="inlineStr">
        <is>
          <t>Toll billed by mail in 2027 (Traffic, PN-14)</t>
        </is>
      </c>
      <c r="C4" s="3" t="inlineStr">
        <is>
          <t>Share eventually collected</t>
        </is>
      </c>
      <c r="D4" s="3" t="inlineStr">
        <is>
          <t>Toll collected</t>
        </is>
      </c>
    </row>
    <row r="5">
      <c r="A5" t="inlineStr">
        <is>
          <t>Plates registered in this state</t>
        </is>
      </c>
      <c r="B5" s="4" t="n">
        <v>11908500</v>
      </c>
      <c r="C5" s="5" t="n">
        <v>0.9378</v>
      </c>
      <c r="D5" s="4">
        <f>B5*C5</f>
        <v/>
      </c>
    </row>
    <row r="6">
      <c r="A6" t="inlineStr">
        <is>
          <t>Plates registered elsewhere</t>
        </is>
      </c>
      <c r="B6" s="4" t="n">
        <v>4292700</v>
      </c>
      <c r="C6" s="5" t="n">
        <v>0.6</v>
      </c>
      <c r="D6" s="4">
        <f>B6*C6</f>
        <v/>
      </c>
    </row>
    <row r="7">
      <c r="A7" s="6" t="inlineStr">
        <is>
          <t>Total</t>
        </is>
      </c>
      <c r="B7" s="7">
        <f>B5+B6</f>
        <v/>
      </c>
      <c r="C7" s="8" t="inlineStr"/>
      <c r="D7" s="7">
        <f>D5+D6</f>
        <v/>
      </c>
    </row>
    <row r="9">
      <c r="A9" s="9" t="inlineStr">
        <is>
          <t>Total toll collected for the certificate, rounded to the nearest $0.25 million: $13,750,000.</t>
        </is>
      </c>
    </row>
    <row r="10">
      <c r="A10" s="9" t="inlineStr">
        <is>
          <t>In-state shares come from the overnight toll-by-mail invoices: the share paid within 60 days, and for invoices put on a registration hold, the share paid once the plate's registration on file had expired, so every renewal it could be collected at has passed.</t>
        </is>
      </c>
    </row>
    <row r="11">
      <c r="A11" s="9" t="inlineStr">
        <is>
          <t>Out-of-state shares come from the overnight invoices issued a year or more before 31 October 2026, by when the agency had collected or returned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</cols>
  <sheetData>
    <row r="1">
      <c r="A1" s="10" t="inlineStr">
        <is>
          <t>Month of crossing</t>
        </is>
      </c>
      <c r="B1" s="10" t="inlineStr">
        <is>
          <t>Violation crossings</t>
        </is>
      </c>
      <c r="C1" s="10" t="inlineStr">
        <is>
          <t>Toll owed</t>
        </is>
      </c>
    </row>
    <row r="2">
      <c r="A2" t="inlineStr">
        <is>
          <t>January 2026</t>
        </is>
      </c>
      <c r="B2" s="11" t="n">
        <v>15003</v>
      </c>
      <c r="C2" s="12" t="n">
        <v>34730.85</v>
      </c>
    </row>
    <row r="3">
      <c r="A3" t="inlineStr">
        <is>
          <t>February 2026</t>
        </is>
      </c>
      <c r="B3" s="11" t="n">
        <v>13740</v>
      </c>
      <c r="C3" s="12" t="n">
        <v>31764.5</v>
      </c>
    </row>
    <row r="4">
      <c r="A4" t="inlineStr">
        <is>
          <t>March 2026</t>
        </is>
      </c>
      <c r="B4" s="11" t="n">
        <v>15530</v>
      </c>
      <c r="C4" s="12" t="n">
        <v>35840.85</v>
      </c>
    </row>
    <row r="5">
      <c r="A5" t="inlineStr">
        <is>
          <t>April 2026</t>
        </is>
      </c>
      <c r="B5" s="11" t="n">
        <v>14758</v>
      </c>
      <c r="C5" s="12" t="n">
        <v>34341.75</v>
      </c>
    </row>
    <row r="6">
      <c r="A6" t="inlineStr">
        <is>
          <t>May 2026</t>
        </is>
      </c>
      <c r="B6" s="11" t="n">
        <v>15332</v>
      </c>
      <c r="C6" s="12" t="n">
        <v>35140.1</v>
      </c>
    </row>
    <row r="7">
      <c r="A7" t="inlineStr">
        <is>
          <t>June 2026</t>
        </is>
      </c>
      <c r="B7" s="11" t="n">
        <v>14970</v>
      </c>
      <c r="C7" s="12" t="n">
        <v>34115.05</v>
      </c>
    </row>
    <row r="8">
      <c r="A8" t="inlineStr">
        <is>
          <t>July 2026</t>
        </is>
      </c>
      <c r="B8" s="11" t="n">
        <v>15285</v>
      </c>
      <c r="C8" s="12" t="n">
        <v>35075.85</v>
      </c>
    </row>
    <row r="9">
      <c r="A9" t="inlineStr">
        <is>
          <t>August 2026</t>
        </is>
      </c>
      <c r="B9" s="11" t="n">
        <v>14918</v>
      </c>
      <c r="C9" s="12" t="n">
        <v>34673.9</v>
      </c>
    </row>
    <row r="10">
      <c r="A10" t="inlineStr">
        <is>
          <t>September 2026</t>
        </is>
      </c>
      <c r="B10" s="11" t="n">
        <v>14368</v>
      </c>
      <c r="C10" s="12" t="n">
        <v>33446</v>
      </c>
    </row>
    <row r="11">
      <c r="A11" s="6" t="inlineStr">
        <is>
          <t>January to September</t>
        </is>
      </c>
      <c r="B11" s="13">
        <f>SUM(B2:B10)</f>
        <v/>
      </c>
      <c r="C11" s="14">
        <f>SUM(C2:C10)</f>
        <v/>
      </c>
    </row>
    <row r="13">
      <c r="A13" t="inlineStr">
        <is>
          <t>A vehicle read in both express lanes is one crossing; a trailer or towed car the classifier counted separately behind a MarrowPass truck owes nothing.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 ht="32" customHeight="1">
      <c r="A1" s="3" t="inlineStr">
        <is>
          <t>Out-of-state violation invoices issued</t>
        </is>
      </c>
      <c r="B1" s="3" t="inlineStr">
        <is>
          <t>Share of toll owed collected by 31 Oct 2026</t>
        </is>
      </c>
    </row>
    <row r="2">
      <c r="A2" t="inlineStr">
        <is>
          <t>April to June 2025</t>
        </is>
      </c>
      <c r="B2" s="5" t="n">
        <v>0.44</v>
      </c>
    </row>
    <row r="3">
      <c r="A3" t="inlineStr">
        <is>
          <t>July to September 2025</t>
        </is>
      </c>
      <c r="B3" s="5" t="n">
        <v>0.48</v>
      </c>
    </row>
    <row r="4">
      <c r="A4" t="inlineStr">
        <is>
          <t>October to December 2025</t>
        </is>
      </c>
      <c r="B4" s="5" t="n">
        <v>0.41</v>
      </c>
    </row>
    <row r="5">
      <c r="A5" t="inlineStr">
        <is>
          <t>January to March 2026</t>
        </is>
      </c>
      <c r="B5" s="5" t="n">
        <v>0.4</v>
      </c>
    </row>
    <row r="7">
      <c r="A7" t="inlineStr">
        <is>
          <t>Agency settlements applied oldest invoice first, toll before fees (policy 3.3 and 4.4).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Toll only: invoice, violation, late and collection fees are budgeted separately (PN-14).</t>
        </is>
      </c>
    </row>
    <row r="2">
      <c r="A2" t="inlineStr">
        <is>
          <t>Toll billed by mail in 2027: Traffic's figures in PN-14, 2026 traffic at the 2027 rates, after image review.</t>
        </is>
      </c>
    </row>
    <row r="3">
      <c r="A3" t="inlineStr">
        <is>
          <t>Records: toll-by-mail back office export of 9 November 2026, payments posted to 31 October 2026; Division of Motor Vehicles hold returns; agency placements; MarrowPass commercial postings January to September 2026.</t>
        </is>
      </c>
    </row>
    <row r="4">
      <c r="A4" t="inlineStr">
        <is>
          <t>Policy: toll schedule and toll-by-mail policy, resolution 2025-31 as amended, sections 3 and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AET programme</dc:creator>
  <dcterms:created xmlns:dcterms="http://purl.org/dc/terms/" xmlns:xsi="http://www.w3.org/2001/XMLSchema-instance" xsi:type="dcterms:W3CDTF">2026-11-12T09:14:00Z</dcterms:created>
  <dcterms:modified xmlns:dcterms="http://purl.org/dc/terms/" xmlns:xsi="http://www.w3.org/2001/XMLSchema-instance" xsi:type="dcterms:W3CDTF">2026-11-12T09:14:00Z</dcterms:modified>
  <cp:lastModifiedBy>AET programme</cp:lastModifiedBy>
</cp:coreProperties>
</file>