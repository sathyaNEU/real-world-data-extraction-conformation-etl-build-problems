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jection 2027" sheetId="1" r:id="rId1"/>
    <sheet name="Board revocations FY26" sheetId="2" r:id="rId2"/>
    <sheet name="Detainer days 2025" sheetId="3" r:id="rId3"/>
    <sheet name="Writ days 2025" sheetId="4" r:id="rId4"/>
  </sheets>
  <calcPr calcId="124519" fullCalcOnLoad="1"/>
</workbook>
</file>

<file path=xl/sharedStrings.xml><?xml version="1.0" encoding="utf-8"?>
<sst xmlns="http://schemas.openxmlformats.org/spreadsheetml/2006/main" count="59" uniqueCount="42">
  <si>
    <t>Two-year returns of the 2027 parole releases under Act 26-114</t>
  </si>
  <si>
    <t>Research and Projections Unit, prison population projection 2027. Records to 30 September 2026.</t>
  </si>
  <si>
    <t>Two-year return rate carried in the projection</t>
  </si>
  <si>
    <t>Parole district</t>
  </si>
  <si>
    <t>Office</t>
  </si>
  <si>
    <t>2027 releases to parole</t>
  </si>
  <si>
    <t>Estimated two-year return rate</t>
  </si>
  <si>
    <t>Expected returns</t>
  </si>
  <si>
    <t>Garrison</t>
  </si>
  <si>
    <t>D1</t>
  </si>
  <si>
    <t>Ridgway</t>
  </si>
  <si>
    <t>D2</t>
  </si>
  <si>
    <t>Linwood</t>
  </si>
  <si>
    <t>D3</t>
  </si>
  <si>
    <t>Corliss</t>
  </si>
  <si>
    <t>D4</t>
  </si>
  <si>
    <t>State</t>
  </si>
  <si>
    <t>Cohort: the Department's projected-release extract of 9 October 2026, projected movements PAR and RPR in 2027.</t>
  </si>
  <si>
    <t>A return is an ADM movement from the day after release to day 730 (methodology 3.1). Under the Act the Board recommits no one, so every return is a new court commitment.</t>
  </si>
  <si>
    <t>Arrests per day out of Department custody in the first 730 days after each 2019 to September 2024 release to parole, by time since release, age, prior commitments, offence, sex and district.</t>
  </si>
  <si>
    <t>Each arrest's chance of a Department sentence and the time from arrest to admission are the courts' own, by charge grade (felony A-B, felony C-E, misdemeanour), from arrests to 30 June 2024 that went to court; arrests the Board answered by revoking parole are left out because no court decided them.</t>
  </si>
  <si>
    <t>The rate is carried in steps of five percentage points (methodology 3.3); the district rates are the model's own, shown for the projection's district tables.</t>
  </si>
  <si>
    <t>Recommitments the Board ordered, 1 July 2025 to 30 June 2026, not rescinded by 30 June 2026</t>
  </si>
  <si>
    <t>One recommitment per parolee per hearing: two reports taken up at one hearing are one order. Legacy system to 2 January 2026, new case system from 5 January.</t>
  </si>
  <si>
    <t>District office</t>
  </si>
  <si>
    <t>On a reported arrest</t>
  </si>
  <si>
    <t>On conditions alone</t>
  </si>
  <si>
    <t>Total</t>
  </si>
  <si>
    <t>All offices</t>
  </si>
  <si>
    <t>Parolee-days held on Board detainers in each district's county jails, 2025</t>
  </si>
  <si>
    <t>A parolee held on two detainers at once is held once. Counting the day a detainer was lodged and not the day the person left; a legacy detainer with no lift date ended at the person's admission.</t>
  </si>
  <si>
    <t>January to June</t>
  </si>
  <si>
    <t>July to December</t>
  </si>
  <si>
    <t>Year</t>
  </si>
  <si>
    <t>Days people spent out of each institution on court writs, 2025</t>
  </si>
  <si>
    <t>Counting the day a person went out and not the day the trip ended. A trip ends at the return (WRI) or, for a person the court released, at the release.</t>
  </si>
  <si>
    <t>Institution</t>
  </si>
  <si>
    <t>SCI-KTR</t>
  </si>
  <si>
    <t>SCI-FNW</t>
  </si>
  <si>
    <t>SCI-DNM</t>
  </si>
  <si>
    <t>SCI-LKV</t>
  </si>
  <si>
    <t>SCI-BRW</t>
  </si>
</sst>
</file>

<file path=xl/styles.xml><?xml version="1.0" encoding="utf-8"?>
<styleSheet xmlns="http://schemas.openxmlformats.org/spreadsheetml/2006/main">
  <numFmts count="3">
    <numFmt numFmtId="164" formatCode="0%"/>
    <numFmt numFmtId="165" formatCode="#,##0"/>
    <numFmt numFmtId="166" formatCode="0.0%"/>
  </numFmts>
  <fonts count="5">
    <font>
      <sz val="11"/>
      <color theme="1"/>
      <name val="Calibri"/>
      <family val="2"/>
      <scheme val="minor"/>
    </font>
    <font>
      <b/>
      <sz val="13"/>
      <color theme="1"/>
      <name val="Calibri"/>
      <family val="2"/>
      <scheme val="minor"/>
    </font>
    <font>
      <i/>
      <sz val="11"/>
      <color rgb="FF595959"/>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DCE6F1"/>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3" fillId="2" borderId="1" xfId="0" applyFont="1" applyFill="1" applyBorder="1" applyAlignment="1">
      <alignment vertical="top" wrapText="1"/>
    </xf>
    <xf numFmtId="165" fontId="0" fillId="0" borderId="0" xfId="0" applyNumberFormat="1"/>
    <xf numFmtId="166" fontId="0" fillId="0" borderId="0" xfId="0" applyNumberFormat="1"/>
    <xf numFmtId="165" fontId="3" fillId="0" borderId="2" xfId="0" applyNumberFormat="1" applyFont="1" applyBorder="1"/>
    <xf numFmtId="166" fontId="3" fillId="0" borderId="2" xfId="0" applyNumberFormat="1"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cols>
    <col min="1" max="1" width="30.7109375" customWidth="1"/>
    <col min="2" max="2" width="8.7109375" customWidth="1"/>
    <col min="3" max="5" width="16.7109375" customWidth="1"/>
  </cols>
  <sheetData>
    <row r="1" spans="1:5">
      <c r="A1" s="1" t="s">
        <v>0</v>
      </c>
    </row>
    <row r="2" spans="1:5">
      <c r="A2" s="2" t="s">
        <v>1</v>
      </c>
    </row>
    <row r="4" spans="1:5">
      <c r="A4" s="3" t="s">
        <v>2</v>
      </c>
      <c r="D4" s="4">
        <v>0.2</v>
      </c>
    </row>
    <row r="8" spans="1:5">
      <c r="A8" s="5" t="s">
        <v>3</v>
      </c>
      <c r="B8" s="5" t="s">
        <v>4</v>
      </c>
      <c r="C8" s="5" t="s">
        <v>5</v>
      </c>
      <c r="D8" s="5" t="s">
        <v>6</v>
      </c>
      <c r="E8" s="5" t="s">
        <v>7</v>
      </c>
    </row>
    <row r="9" spans="1:5">
      <c r="A9" t="s">
        <v>8</v>
      </c>
      <c r="B9" t="s">
        <v>9</v>
      </c>
      <c r="C9" s="6">
        <v>2385</v>
      </c>
      <c r="D9" s="7">
        <v>0.2507090285382706</v>
      </c>
      <c r="E9" s="6">
        <v>597.9410330637754</v>
      </c>
    </row>
    <row r="10" spans="1:5">
      <c r="A10" t="s">
        <v>10</v>
      </c>
      <c r="B10" t="s">
        <v>11</v>
      </c>
      <c r="C10" s="6">
        <v>1713</v>
      </c>
      <c r="D10" s="7">
        <v>0.1910765495732695</v>
      </c>
      <c r="E10" s="6">
        <v>327.3141294190107</v>
      </c>
    </row>
    <row r="11" spans="1:5">
      <c r="A11" t="s">
        <v>12</v>
      </c>
      <c r="B11" t="s">
        <v>13</v>
      </c>
      <c r="C11" s="6">
        <v>1385</v>
      </c>
      <c r="D11" s="7">
        <v>0.1879642162080178</v>
      </c>
      <c r="E11" s="6">
        <v>260.3304394481047</v>
      </c>
    </row>
    <row r="12" spans="1:5">
      <c r="A12" t="s">
        <v>14</v>
      </c>
      <c r="B12" t="s">
        <v>15</v>
      </c>
      <c r="C12" s="6">
        <v>983</v>
      </c>
      <c r="D12" s="7">
        <v>0.134004209803905</v>
      </c>
      <c r="E12" s="6">
        <v>131.7261382372386</v>
      </c>
    </row>
    <row r="13" spans="1:5">
      <c r="A13" s="3" t="s">
        <v>16</v>
      </c>
      <c r="C13" s="8">
        <v>6466</v>
      </c>
      <c r="D13" s="9">
        <v>0.2037290040470351</v>
      </c>
      <c r="E13" s="8">
        <v>1317.311740168129</v>
      </c>
    </row>
    <row r="15" spans="1:5">
      <c r="A15" t="s">
        <v>17</v>
      </c>
    </row>
    <row r="16" spans="1:5">
      <c r="A16" t="s">
        <v>18</v>
      </c>
    </row>
    <row r="17" spans="1:1">
      <c r="A17" t="s">
        <v>19</v>
      </c>
    </row>
    <row r="18" spans="1:1">
      <c r="A18" t="s">
        <v>20</v>
      </c>
    </row>
    <row r="19" spans="1:1">
      <c r="A19"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9"/>
  <sheetViews>
    <sheetView workbookViewId="0"/>
  </sheetViews>
  <sheetFormatPr defaultRowHeight="15"/>
  <cols>
    <col min="1" max="2" width="15.7109375" customWidth="1"/>
    <col min="3" max="5" width="18.7109375" customWidth="1"/>
  </cols>
  <sheetData>
    <row r="1" spans="1:5">
      <c r="A1" s="1" t="s">
        <v>22</v>
      </c>
    </row>
    <row r="2" spans="1:5">
      <c r="A2" s="2" t="s">
        <v>23</v>
      </c>
    </row>
    <row r="4" spans="1:5">
      <c r="A4" s="5" t="s">
        <v>24</v>
      </c>
      <c r="B4" s="5" t="s">
        <v>3</v>
      </c>
      <c r="C4" s="5" t="s">
        <v>25</v>
      </c>
      <c r="D4" s="5" t="s">
        <v>26</v>
      </c>
      <c r="E4" s="5" t="s">
        <v>27</v>
      </c>
    </row>
    <row r="5" spans="1:5">
      <c r="A5" t="s">
        <v>9</v>
      </c>
      <c r="B5" t="s">
        <v>8</v>
      </c>
      <c r="C5" s="6">
        <v>1586</v>
      </c>
      <c r="D5" s="6">
        <v>296</v>
      </c>
      <c r="E5" s="6">
        <f>C5+D5</f>
        <v>1882</v>
      </c>
    </row>
    <row r="6" spans="1:5">
      <c r="A6" t="s">
        <v>11</v>
      </c>
      <c r="B6" t="s">
        <v>10</v>
      </c>
      <c r="C6" s="6">
        <v>709</v>
      </c>
      <c r="D6" s="6">
        <v>262</v>
      </c>
      <c r="E6" s="6">
        <f>C6+D6</f>
        <v>971</v>
      </c>
    </row>
    <row r="7" spans="1:5">
      <c r="A7" t="s">
        <v>13</v>
      </c>
      <c r="B7" t="s">
        <v>12</v>
      </c>
      <c r="C7" s="6">
        <v>427</v>
      </c>
      <c r="D7" s="6">
        <v>179</v>
      </c>
      <c r="E7" s="6">
        <f>C7+D7</f>
        <v>606</v>
      </c>
    </row>
    <row r="8" spans="1:5">
      <c r="A8" t="s">
        <v>15</v>
      </c>
      <c r="B8" t="s">
        <v>14</v>
      </c>
      <c r="C8" s="6">
        <v>157</v>
      </c>
      <c r="D8" s="6">
        <v>139</v>
      </c>
      <c r="E8" s="6">
        <f>C8+D8</f>
        <v>296</v>
      </c>
    </row>
    <row r="9" spans="1:5">
      <c r="A9" s="3" t="s">
        <v>28</v>
      </c>
      <c r="C9" s="8">
        <f>SUM(C5:C8)</f>
        <v>2879</v>
      </c>
      <c r="D9" s="8">
        <f>SUM(D5:D8)</f>
        <v>876</v>
      </c>
      <c r="E9" s="8">
        <f>SUM(E5:E8)</f>
        <v>3755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8"/>
  <sheetViews>
    <sheetView workbookViewId="0"/>
  </sheetViews>
  <sheetFormatPr defaultRowHeight="15"/>
  <cols>
    <col min="1" max="1" width="15.7109375" customWidth="1"/>
    <col min="2" max="4" width="16.7109375" customWidth="1"/>
  </cols>
  <sheetData>
    <row r="1" spans="1:4">
      <c r="A1" s="1" t="s">
        <v>29</v>
      </c>
    </row>
    <row r="2" spans="1:4">
      <c r="A2" s="2" t="s">
        <v>30</v>
      </c>
    </row>
    <row r="4" spans="1:4">
      <c r="A4" s="5" t="s">
        <v>3</v>
      </c>
      <c r="B4" s="5" t="s">
        <v>31</v>
      </c>
      <c r="C4" s="5" t="s">
        <v>32</v>
      </c>
      <c r="D4" s="5" t="s">
        <v>33</v>
      </c>
    </row>
    <row r="5" spans="1:4">
      <c r="A5" t="s">
        <v>8</v>
      </c>
      <c r="B5" s="6">
        <v>44780</v>
      </c>
      <c r="C5" s="6">
        <v>49489</v>
      </c>
      <c r="D5" s="6">
        <f>SUM(B5:C5)</f>
        <v>94269</v>
      </c>
    </row>
    <row r="6" spans="1:4">
      <c r="A6" t="s">
        <v>10</v>
      </c>
      <c r="B6" s="6">
        <v>30248</v>
      </c>
      <c r="C6" s="6">
        <v>27668</v>
      </c>
      <c r="D6" s="6">
        <f>SUM(B6:C6)</f>
        <v>57916</v>
      </c>
    </row>
    <row r="7" spans="1:4">
      <c r="A7" t="s">
        <v>12</v>
      </c>
      <c r="B7" s="6">
        <v>19991</v>
      </c>
      <c r="C7" s="6">
        <v>21769</v>
      </c>
      <c r="D7" s="6">
        <f>SUM(B7:C7)</f>
        <v>41760</v>
      </c>
    </row>
    <row r="8" spans="1:4">
      <c r="A8" t="s">
        <v>14</v>
      </c>
      <c r="B8" s="6">
        <v>12729</v>
      </c>
      <c r="C8" s="6">
        <v>12505</v>
      </c>
      <c r="D8" s="6">
        <f>SUM(B8:C8)</f>
        <v>25234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9"/>
  <sheetViews>
    <sheetView workbookViewId="0"/>
  </sheetViews>
  <sheetFormatPr defaultRowHeight="15"/>
  <cols>
    <col min="1" max="1" width="15.7109375" customWidth="1"/>
    <col min="2" max="4" width="16.7109375" customWidth="1"/>
  </cols>
  <sheetData>
    <row r="1" spans="1:4">
      <c r="A1" s="1" t="s">
        <v>34</v>
      </c>
    </row>
    <row r="2" spans="1:4">
      <c r="A2" s="2" t="s">
        <v>35</v>
      </c>
    </row>
    <row r="4" spans="1:4">
      <c r="A4" s="5" t="s">
        <v>36</v>
      </c>
      <c r="B4" s="5" t="s">
        <v>31</v>
      </c>
      <c r="C4" s="5" t="s">
        <v>32</v>
      </c>
      <c r="D4" s="5" t="s">
        <v>33</v>
      </c>
    </row>
    <row r="5" spans="1:4">
      <c r="A5" t="s">
        <v>37</v>
      </c>
      <c r="B5" s="6">
        <v>3736</v>
      </c>
      <c r="C5" s="6">
        <v>3929</v>
      </c>
      <c r="D5" s="6">
        <f>SUM(B5:C5)</f>
        <v>7665</v>
      </c>
    </row>
    <row r="6" spans="1:4">
      <c r="A6" t="s">
        <v>38</v>
      </c>
      <c r="B6" s="6">
        <v>3790</v>
      </c>
      <c r="C6" s="6">
        <v>3876</v>
      </c>
      <c r="D6" s="6">
        <f>SUM(B6:C6)</f>
        <v>7666</v>
      </c>
    </row>
    <row r="7" spans="1:4">
      <c r="A7" t="s">
        <v>39</v>
      </c>
      <c r="B7" s="6">
        <v>3657</v>
      </c>
      <c r="C7" s="6">
        <v>3574</v>
      </c>
      <c r="D7" s="6">
        <f>SUM(B7:C7)</f>
        <v>7231</v>
      </c>
    </row>
    <row r="8" spans="1:4">
      <c r="A8" t="s">
        <v>40</v>
      </c>
      <c r="B8" s="6">
        <v>3538</v>
      </c>
      <c r="C8" s="6">
        <v>4054</v>
      </c>
      <c r="D8" s="6">
        <f>SUM(B8:C8)</f>
        <v>7592</v>
      </c>
    </row>
    <row r="9" spans="1:4">
      <c r="A9" t="s">
        <v>41</v>
      </c>
      <c r="B9" s="6">
        <v>3595</v>
      </c>
      <c r="C9" s="6">
        <v>4077</v>
      </c>
      <c r="D9" s="6">
        <f>SUM(B9:C9)</f>
        <v>7672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Projection 2027</vt:lpstr>
      <vt:lpstr>Board revocations FY26</vt:lpstr>
      <vt:lpstr>Detainer days 2025</vt:lpstr>
      <vt:lpstr>Writ days 2025</vt:lpstr>
    </vt:vector>
  </TitlesOfParts>
  <Company>State of Pembroke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Research and Projections Unit</dc:creator>
  <cp:lastModifiedBy>Research and Projections Unit</cp:lastModifiedBy>
  <dcterms:created xsi:type="dcterms:W3CDTF">2026-10-16T18:05:00Z</dcterms:created>
  <dcterms:modified xsi:type="dcterms:W3CDTF">2026-10-16T18:05:00Z</dcterms:modified>
</cp:coreProperties>
</file>