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ojection 2027" sheetId="1" r:id="rId1"/>
    <sheet name="Board revocations FY26" sheetId="2" r:id="rId2"/>
    <sheet name="Detainer days 2025" sheetId="3" r:id="rId3"/>
  </sheets>
  <calcPr calcId="124519" fullCalcOnLoad="1"/>
</workbook>
</file>

<file path=xl/sharedStrings.xml><?xml version="1.0" encoding="utf-8"?>
<sst xmlns="http://schemas.openxmlformats.org/spreadsheetml/2006/main" count="54" uniqueCount="38">
  <si>
    <t>Two-year returns of the 2027 parole releases under Act 26-114</t>
  </si>
  <si>
    <t>Research and Projections Unit, prison population projection 2027. Records to 30 September 2026.</t>
  </si>
  <si>
    <t>Two-year return rate carried in the projection</t>
  </si>
  <si>
    <t>District with the highest rate</t>
  </si>
  <si>
    <t>Garrison</t>
  </si>
  <si>
    <t>District with the lowest rate</t>
  </si>
  <si>
    <t>Corliss</t>
  </si>
  <si>
    <t>Parole district</t>
  </si>
  <si>
    <t>Office</t>
  </si>
  <si>
    <t>2027 releases to parole</t>
  </si>
  <si>
    <t>Estimated two-year return rate</t>
  </si>
  <si>
    <t>Expected returns</t>
  </si>
  <si>
    <t>D1</t>
  </si>
  <si>
    <t>Ridgway</t>
  </si>
  <si>
    <t>D2</t>
  </si>
  <si>
    <t>Linwood</t>
  </si>
  <si>
    <t>D3</t>
  </si>
  <si>
    <t>D4</t>
  </si>
  <si>
    <t>State</t>
  </si>
  <si>
    <t>Cohort: the Department's projected-release extract of 9 October 2026, projected movements PAR and RPR in 2027.</t>
  </si>
  <si>
    <t>A return is an ADM movement from the day after release to day 730 (methodology 3.1). Under the Act the Board recommits no one, so every return is a new court commitment.</t>
  </si>
  <si>
    <t>Arrests per day out of Department custody in the first 730 days after each 2019 to September 2024 release to parole, by time since release, age, prior commitments, offence, sex and district.</t>
  </si>
  <si>
    <t>Each arrest's chance of a Department sentence and the time from arrest to admission are the courts' own, by charge grade (felony A-B, felony C-E, misdemeanour), from arrests to 30 June 2024 that went to court; arrests the Board answered by revoking parole are left out because no court decided them.</t>
  </si>
  <si>
    <t>The rate is carried in steps of five percentage points (methodology 3.3); the district rates are shown at the model's precision for ranking only.</t>
  </si>
  <si>
    <t>Parole revocations the Board ordered, 1 July 2025 to 30 June 2026, not rescinded</t>
  </si>
  <si>
    <t>Legacy system actions to 2 January 2026 and the new case system from 5 January; entries the legacy system took for carried-over cases after its close are counted once, from the new system.</t>
  </si>
  <si>
    <t>District office</t>
  </si>
  <si>
    <t>On a reported arrest</t>
  </si>
  <si>
    <t>On conditions alone</t>
  </si>
  <si>
    <t>Total</t>
  </si>
  <si>
    <t>All offices</t>
  </si>
  <si>
    <t>Days parolees were held on Board detainers in each district's county jails, 2025</t>
  </si>
  <si>
    <t>Counting the day a detainer was lodged and not the day the person left. A legacy detainer with no lift date ended when the person was admitted to the Department.</t>
  </si>
  <si>
    <t>Jan-Mar 2025</t>
  </si>
  <si>
    <t>Apr-Jun 2025</t>
  </si>
  <si>
    <t>Jul-Sep 2025</t>
  </si>
  <si>
    <t>Oct-Dec 2025</t>
  </si>
  <si>
    <t>Year</t>
  </si>
</sst>
</file>

<file path=xl/styles.xml><?xml version="1.0" encoding="utf-8"?>
<styleSheet xmlns="http://schemas.openxmlformats.org/spreadsheetml/2006/main">
  <numFmts count="3">
    <numFmt numFmtId="164" formatCode="0%"/>
    <numFmt numFmtId="165" formatCode="#,##0"/>
    <numFmt numFmtId="166" formatCode="0.0%"/>
  </numFmts>
  <fonts count="5">
    <font>
      <sz val="11"/>
      <color theme="1"/>
      <name val="Calibri"/>
      <family val="2"/>
      <scheme val="minor"/>
    </font>
    <font>
      <b/>
      <sz val="13"/>
      <color theme="1"/>
      <name val="Calibri"/>
      <family val="2"/>
      <scheme val="minor"/>
    </font>
    <font>
      <i/>
      <sz val="11"/>
      <color rgb="FF595959"/>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DCE6F1"/>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auto="1"/>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3" fillId="2" borderId="1" xfId="0" applyFont="1" applyFill="1" applyBorder="1" applyAlignment="1">
      <alignment vertical="top" wrapText="1"/>
    </xf>
    <xf numFmtId="165" fontId="0" fillId="0" borderId="0" xfId="0" applyNumberFormat="1"/>
    <xf numFmtId="166" fontId="0" fillId="0" borderId="0" xfId="0" applyNumberFormat="1"/>
    <xf numFmtId="165" fontId="3" fillId="0" borderId="2" xfId="0" applyNumberFormat="1" applyFont="1" applyBorder="1"/>
    <xf numFmtId="166" fontId="3" fillId="0" borderId="2"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19"/>
  <sheetViews>
    <sheetView tabSelected="1" workbookViewId="0"/>
  </sheetViews>
  <sheetFormatPr defaultRowHeight="15"/>
  <cols>
    <col min="1" max="1" width="30.7109375" customWidth="1"/>
    <col min="2" max="2" width="8.7109375" customWidth="1"/>
    <col min="3" max="5" width="16.7109375" customWidth="1"/>
  </cols>
  <sheetData>
    <row r="1" spans="1:5">
      <c r="A1" s="1" t="s">
        <v>0</v>
      </c>
    </row>
    <row r="2" spans="1:5">
      <c r="A2" s="2" t="s">
        <v>1</v>
      </c>
    </row>
    <row r="4" spans="1:5">
      <c r="A4" s="3" t="s">
        <v>2</v>
      </c>
      <c r="D4" s="4">
        <v>0.2</v>
      </c>
    </row>
    <row r="5" spans="1:5">
      <c r="A5" s="3" t="s">
        <v>3</v>
      </c>
      <c r="D5" s="3" t="s">
        <v>4</v>
      </c>
    </row>
    <row r="6" spans="1:5">
      <c r="A6" s="3" t="s">
        <v>5</v>
      </c>
      <c r="D6" s="3" t="s">
        <v>6</v>
      </c>
    </row>
    <row r="8" spans="1:5">
      <c r="A8" s="5" t="s">
        <v>7</v>
      </c>
      <c r="B8" s="5" t="s">
        <v>8</v>
      </c>
      <c r="C8" s="5" t="s">
        <v>9</v>
      </c>
      <c r="D8" s="5" t="s">
        <v>10</v>
      </c>
      <c r="E8" s="5" t="s">
        <v>11</v>
      </c>
    </row>
    <row r="9" spans="1:5">
      <c r="A9" t="s">
        <v>4</v>
      </c>
      <c r="B9" t="s">
        <v>12</v>
      </c>
      <c r="C9" s="6">
        <v>2385</v>
      </c>
      <c r="D9" s="7">
        <v>0.2507090285382706</v>
      </c>
      <c r="E9" s="6">
        <v>597.9410330637754</v>
      </c>
    </row>
    <row r="10" spans="1:5">
      <c r="A10" t="s">
        <v>13</v>
      </c>
      <c r="B10" t="s">
        <v>14</v>
      </c>
      <c r="C10" s="6">
        <v>1713</v>
      </c>
      <c r="D10" s="7">
        <v>0.1910765495732695</v>
      </c>
      <c r="E10" s="6">
        <v>327.3141294190107</v>
      </c>
    </row>
    <row r="11" spans="1:5">
      <c r="A11" t="s">
        <v>15</v>
      </c>
      <c r="B11" t="s">
        <v>16</v>
      </c>
      <c r="C11" s="6">
        <v>1385</v>
      </c>
      <c r="D11" s="7">
        <v>0.1879642162080178</v>
      </c>
      <c r="E11" s="6">
        <v>260.3304394481047</v>
      </c>
    </row>
    <row r="12" spans="1:5">
      <c r="A12" t="s">
        <v>6</v>
      </c>
      <c r="B12" t="s">
        <v>17</v>
      </c>
      <c r="C12" s="6">
        <v>983</v>
      </c>
      <c r="D12" s="7">
        <v>0.134004209803905</v>
      </c>
      <c r="E12" s="6">
        <v>131.7261382372386</v>
      </c>
    </row>
    <row r="13" spans="1:5">
      <c r="A13" s="3" t="s">
        <v>18</v>
      </c>
      <c r="C13" s="8">
        <v>6466</v>
      </c>
      <c r="D13" s="9">
        <v>0.2037290040470351</v>
      </c>
      <c r="E13" s="8">
        <v>1317.311740168129</v>
      </c>
    </row>
    <row r="15" spans="1:5">
      <c r="A15" t="s">
        <v>19</v>
      </c>
    </row>
    <row r="16" spans="1:5">
      <c r="A16" t="s">
        <v>20</v>
      </c>
    </row>
    <row r="17" spans="1:1">
      <c r="A17" t="s">
        <v>21</v>
      </c>
    </row>
    <row r="18" spans="1:1">
      <c r="A18" t="s">
        <v>22</v>
      </c>
    </row>
    <row r="19" spans="1:1">
      <c r="A19"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9"/>
  <sheetViews>
    <sheetView workbookViewId="0"/>
  </sheetViews>
  <sheetFormatPr defaultRowHeight="15"/>
  <cols>
    <col min="1" max="2" width="15.7109375" customWidth="1"/>
    <col min="3" max="5" width="18.7109375" customWidth="1"/>
  </cols>
  <sheetData>
    <row r="1" spans="1:5">
      <c r="A1" s="1" t="s">
        <v>24</v>
      </c>
    </row>
    <row r="2" spans="1:5">
      <c r="A2" s="2" t="s">
        <v>25</v>
      </c>
    </row>
    <row r="4" spans="1:5">
      <c r="A4" s="5" t="s">
        <v>26</v>
      </c>
      <c r="B4" s="5" t="s">
        <v>7</v>
      </c>
      <c r="C4" s="5" t="s">
        <v>27</v>
      </c>
      <c r="D4" s="5" t="s">
        <v>28</v>
      </c>
      <c r="E4" s="5" t="s">
        <v>29</v>
      </c>
    </row>
    <row r="5" spans="1:5">
      <c r="A5" t="s">
        <v>12</v>
      </c>
      <c r="B5" t="s">
        <v>4</v>
      </c>
      <c r="C5" s="6">
        <v>1586</v>
      </c>
      <c r="D5" s="6">
        <v>295</v>
      </c>
      <c r="E5" s="6">
        <f>C5+D5</f>
        <v>1881</v>
      </c>
    </row>
    <row r="6" spans="1:5">
      <c r="A6" t="s">
        <v>14</v>
      </c>
      <c r="B6" t="s">
        <v>13</v>
      </c>
      <c r="C6" s="6">
        <v>709</v>
      </c>
      <c r="D6" s="6">
        <v>259</v>
      </c>
      <c r="E6" s="6">
        <f>C6+D6</f>
        <v>968</v>
      </c>
    </row>
    <row r="7" spans="1:5">
      <c r="A7" t="s">
        <v>16</v>
      </c>
      <c r="B7" t="s">
        <v>15</v>
      </c>
      <c r="C7" s="6">
        <v>427</v>
      </c>
      <c r="D7" s="6">
        <v>176</v>
      </c>
      <c r="E7" s="6">
        <f>C7+D7</f>
        <v>603</v>
      </c>
    </row>
    <row r="8" spans="1:5">
      <c r="A8" t="s">
        <v>17</v>
      </c>
      <c r="B8" t="s">
        <v>6</v>
      </c>
      <c r="C8" s="6">
        <v>157</v>
      </c>
      <c r="D8" s="6">
        <v>137</v>
      </c>
      <c r="E8" s="6">
        <f>C8+D8</f>
        <v>294</v>
      </c>
    </row>
    <row r="9" spans="1:5">
      <c r="A9" s="3" t="s">
        <v>30</v>
      </c>
      <c r="C9" s="8">
        <f>SUM(C5:C8)</f>
        <v>2879</v>
      </c>
      <c r="D9" s="8">
        <f>SUM(D5:D8)</f>
        <v>867</v>
      </c>
      <c r="E9" s="8">
        <f>SUM(E5:E8)</f>
        <v>3746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8"/>
  <sheetViews>
    <sheetView workbookViewId="0"/>
  </sheetViews>
  <sheetFormatPr defaultRowHeight="15"/>
  <cols>
    <col min="1" max="1" width="15.7109375" customWidth="1"/>
    <col min="2" max="6" width="13.7109375" customWidth="1"/>
  </cols>
  <sheetData>
    <row r="1" spans="1:6">
      <c r="A1" s="1" t="s">
        <v>31</v>
      </c>
    </row>
    <row r="2" spans="1:6">
      <c r="A2" s="2" t="s">
        <v>32</v>
      </c>
    </row>
    <row r="4" spans="1:6">
      <c r="A4" s="5" t="s">
        <v>7</v>
      </c>
      <c r="B4" s="5" t="s">
        <v>33</v>
      </c>
      <c r="C4" s="5" t="s">
        <v>34</v>
      </c>
      <c r="D4" s="5" t="s">
        <v>35</v>
      </c>
      <c r="E4" s="5" t="s">
        <v>36</v>
      </c>
      <c r="F4" s="5" t="s">
        <v>37</v>
      </c>
    </row>
    <row r="5" spans="1:6">
      <c r="A5" t="s">
        <v>4</v>
      </c>
      <c r="B5" s="6">
        <v>22746</v>
      </c>
      <c r="C5" s="6">
        <v>22034</v>
      </c>
      <c r="D5" s="6">
        <v>24883</v>
      </c>
      <c r="E5" s="6">
        <v>24606</v>
      </c>
      <c r="F5" s="6">
        <f>SUM(B5:E5)</f>
        <v>94269</v>
      </c>
    </row>
    <row r="6" spans="1:6">
      <c r="A6" t="s">
        <v>13</v>
      </c>
      <c r="B6" s="6">
        <v>15421</v>
      </c>
      <c r="C6" s="6">
        <v>14827</v>
      </c>
      <c r="D6" s="6">
        <v>13663</v>
      </c>
      <c r="E6" s="6">
        <v>14005</v>
      </c>
      <c r="F6" s="6">
        <f>SUM(B6:E6)</f>
        <v>57916</v>
      </c>
    </row>
    <row r="7" spans="1:6">
      <c r="A7" t="s">
        <v>15</v>
      </c>
      <c r="B7" s="6">
        <v>9962</v>
      </c>
      <c r="C7" s="6">
        <v>10029</v>
      </c>
      <c r="D7" s="6">
        <v>10630</v>
      </c>
      <c r="E7" s="6">
        <v>11139</v>
      </c>
      <c r="F7" s="6">
        <f>SUM(B7:E7)</f>
        <v>41760</v>
      </c>
    </row>
    <row r="8" spans="1:6">
      <c r="A8" t="s">
        <v>6</v>
      </c>
      <c r="B8" s="6">
        <v>6338</v>
      </c>
      <c r="C8" s="6">
        <v>6391</v>
      </c>
      <c r="D8" s="6">
        <v>6354</v>
      </c>
      <c r="E8" s="6">
        <v>6151</v>
      </c>
      <c r="F8" s="6">
        <f>SUM(B8:E8)</f>
        <v>25234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Projection 2027</vt:lpstr>
      <vt:lpstr>Board revocations FY26</vt:lpstr>
      <vt:lpstr>Detainer days 2025</vt:lpstr>
    </vt:vector>
  </TitlesOfParts>
  <Company>State of Pembroke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Research and Projections Unit</dc:creator>
  <cp:lastModifiedBy>Research and Projections Unit</cp:lastModifiedBy>
  <dcterms:created xsi:type="dcterms:W3CDTF">2026-10-16T18:05:00Z</dcterms:created>
  <dcterms:modified xsi:type="dcterms:W3CDTF">2026-10-16T18:05:00Z</dcterms:modified>
</cp:coreProperties>
</file>