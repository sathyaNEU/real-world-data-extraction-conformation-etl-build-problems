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 name="Writ days 2025" sheetId="4" r:id="rId4"/>
  </sheets>
  <calcPr calcId="124519" fullCalcOnLoad="1"/>
</workbook>
</file>

<file path=xl/sharedStrings.xml><?xml version="1.0" encoding="utf-8"?>
<sst xmlns="http://schemas.openxmlformats.org/spreadsheetml/2006/main" count="59" uniqueCount="42">
  <si>
    <t>Two-year returns of the 2027 parole releases under Act 26-114</t>
  </si>
  <si>
    <t>Research and Projections Unit, prison population projection 2027. Records to 30 September 2026.</t>
  </si>
  <si>
    <t>Two-year return rate carried in the projection</t>
  </si>
  <si>
    <t>Parole district</t>
  </si>
  <si>
    <t>Office</t>
  </si>
  <si>
    <t>2027 releases to parole</t>
  </si>
  <si>
    <t>Estimated two-year return rate</t>
  </si>
  <si>
    <t>Expected returns</t>
  </si>
  <si>
    <t>Garrison</t>
  </si>
  <si>
    <t>D1</t>
  </si>
  <si>
    <t>Ridgway</t>
  </si>
  <si>
    <t>D2</t>
  </si>
  <si>
    <t>Linwood</t>
  </si>
  <si>
    <t>D3</t>
  </si>
  <si>
    <t>Corliss</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</si>
  <si>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</si>
  <si>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</si>
  <si>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</si>
  <si>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</si>
  <si>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 carried over all 730 days, the cohort being out of Department custody until a return (methodology 4.1).</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</si>
  <si>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</si>
  <si>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the model's own, shown for the projection's district tables.</t>
  </si>
  <si>
    <t>Recommitments the Board ordered, 1 July 2025 to 30 June 2026, not rescinded by 30 June 2026</t>
  </si>
  <si>
    <t>One recommitment per parolee per hearing: two reports taken up at one hearing are one order, and a case heard again after a rescission keeps its later order. Legacy system to 2 January 2026, new case system from 5 January.</t>
  </si>
  <si>
    <t>District office</t>
  </si>
  <si>
    <t>On a reported arrest</t>
  </si>
  <si>
    <t>On conditions alone</t>
  </si>
  <si>
    <t>Total</t>
  </si>
  <si>
    <t>All offices</t>
  </si>
  <si>
    <t>Parolee-days held on Board detainers in each district's county jails, 2025</t>
  </si>
  <si>
    <t>A parolee held on two detainers at once is held once. Counting the day a detainer was lodged and not the day the person left; a legacy detainer with no lift date ended at the person's admission; a carried-over detainer counted from its legacy lodge date, not the 5 January 2026 re-issue.</t>
  </si>
  <si>
    <t>January to June</t>
  </si>
  <si>
    <t>July to December</t>
  </si>
  <si>
    <t>Year</t>
  </si>
  <si>
    <t>Days people spent out of each institution on court writs, 2025</t>
  </si>
  <si>
    <t>Counting the day a person went out and not the day the trip ended. A trip ends at the return (WRI) or, for a person the court released, at the release.</t>
  </si>
  <si>
    <t>Institution</t>
  </si>
  <si>
    <t>SCI-KTR</t>
  </si>
  <si>
    <t>SCI-FNW</t>
  </si>
  <si>
    <t>SCI-DNM</t>
  </si>
  <si>
    <t>SCI-LKV</t>
  </si>
  <si>
    <t>SCI-BRW</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</si>
</sst>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8" spans="1:5">
      <c r="A8" s="5" t="s">
        <v>3</v>
      </c>
      <c r="B8" s="5" t="s">
        <v>4</v>
      </c>
      <c r="C8" s="5" t="s">
        <v>5</v>
      </c>
      <c r="D8" s="5" t="s">
        <v>6</v>
      </c>
      <c r="E8" s="5" t="s">
        <v>7</v>
      </c>
    </row>
    <row r="9" spans="1:5">
      <c r="A9" t="s">
        <v>8</v>
      </c>
      <c r="B9" t="s">
        <v>9</v>
      </c>
      <c r="C9" s="6">
        <v>2443</v>
      </c>
      <c r="D9" s="7">
        <v>0.2521363606190379</v>
      </c>
      <c r="E9" s="6">
        <v>615.9691289923095</v>
      </c>
    </row>
    <row r="10" spans="1:5">
      <c r="A10" t="s">
        <v>10</v>
      </c>
      <c r="B10" t="s">
        <v>11</v>
      </c>
      <c r="C10" s="6">
        <v>1658</v>
      </c>
      <c r="D10" s="7">
        <v>0.1828015247984661</v>
      </c>
      <c r="E10" s="6">
        <v>303.0849281158568</v>
      </c>
    </row>
    <row r="11" spans="1:5">
      <c r="A11" t="s">
        <v>12</v>
      </c>
      <c r="B11" t="s">
        <v>13</v>
      </c>
      <c r="C11" s="6">
        <v>1404</v>
      </c>
      <c r="D11" s="7">
        <v>0.1896397073713174</v>
      </c>
      <c r="E11" s="6">
        <v>266.2541491493296</v>
      </c>
    </row>
    <row r="12" spans="1:5">
      <c r="A12" t="s">
        <v>14</v>
      </c>
      <c r="B12" t="s">
        <v>15</v>
      </c>
      <c r="C12" s="6">
        <v>961</v>
      </c>
      <c r="D12" s="7">
        <v>0.1394493404268544</v>
      </c>
      <c r="E12" s="6">
        <v>134.0108161502071</v>
      </c>
    </row>
    <row r="13" spans="1:5">
      <c r="A13" s="3" t="s">
        <v>16</v>
      </c>
      <c r="C13" s="8">
        <v>6466</v>
      </c>
      <c r="D13" s="9">
        <v>0.2040394405208326</v>
      </c>
      <c r="E13" s="8">
        <v>1319.319022407703</v>
      </c>
    </row>
    <row r="15" spans="1:5">
      <c r="A15" t="s">
        <v>17</v>
      </c>
    </row>
    <row r="16" spans="1:5">
      <c r="A16" t="s">
        <v>18</v>
      </c>
    </row>
    <row r="17" spans="1:1">
      <c r="A17" t="s">
        <v>19</v>
      </c>
    </row>
    <row r="18" spans="1:1">
      <c r="A18" t="s">
        <v>20</v>
      </c>
    </row>
    <row r="19" spans="1:1">
      <c r="A19"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22</v>
      </c>
    </row>
    <row r="2" spans="1:5">
      <c r="A2" s="2" t="s">
        <v>23</v>
      </c>
    </row>
    <row r="4" spans="1:5">
      <c r="A4" s="5" t="s">
        <v>24</v>
      </c>
      <c r="B4" s="5" t="s">
        <v>3</v>
      </c>
      <c r="C4" s="5" t="s">
        <v>25</v>
      </c>
      <c r="D4" s="5" t="s">
        <v>26</v>
      </c>
      <c r="E4" s="5" t="s">
        <v>27</v>
      </c>
    </row>
    <row r="5" spans="1:5">
      <c r="A5" t="s">
        <v>9</v>
      </c>
      <c r="B5" t="s">
        <v>8</v>
      </c>
      <c r="C5" s="6">
        <v>1280</v>
      </c>
      <c r="D5" s="6">
        <v>262</v>
      </c>
      <c r="E5" s="6">
        <f>C5+D5</f>
        <v>1542</v>
      </c>
    </row>
    <row r="6" spans="1:5">
      <c r="A6" t="s">
        <v>11</v>
      </c>
      <c r="B6" t="s">
        <v>10</v>
      </c>
      <c r="C6" s="6">
        <v>622</v>
      </c>
      <c r="D6" s="6">
        <v>210</v>
      </c>
      <c r="E6" s="6">
        <f>C6+D6</f>
        <v>832</v>
      </c>
    </row>
    <row r="7" spans="1:5">
      <c r="A7" t="s">
        <v>13</v>
      </c>
      <c r="B7" t="s">
        <v>12</v>
      </c>
      <c r="C7" s="6">
        <v>369</v>
      </c>
      <c r="D7" s="6">
        <v>172</v>
      </c>
      <c r="E7" s="6">
        <f>C7+D7</f>
        <v>541</v>
      </c>
    </row>
    <row r="8" spans="1:5">
      <c r="A8" t="s">
        <v>15</v>
      </c>
      <c r="B8" t="s">
        <v>14</v>
      </c>
      <c r="C8" s="6">
        <v>117</v>
      </c>
      <c r="D8" s="6">
        <v>149</v>
      </c>
      <c r="E8" s="6">
        <f>C8+D8</f>
        <v>266</v>
      </c>
    </row>
    <row r="9" spans="1:5">
      <c r="A9" s="3" t="s">
        <v>28</v>
      </c>
      <c r="C9" s="8">
        <f>SUM(C5:C8)</f>
        <v>2388</v>
      </c>
      <c r="D9" s="8">
        <f>SUM(D5:D8)</f>
        <v>793</v>
      </c>
      <c r="E9" s="8">
        <f>SUM(E5:E8)</f>
        <v>3181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8"/>
  <sheetViews>
    <sheetView workbookViewId="0"/>
  </sheetViews>
  <sheetFormatPr defaultRowHeight="15"/>
  <cols>
    <col min="1" max="1" width="15.7109375" customWidth="1"/>
    <col min="2" max="4" width="16.7109375" customWidth="1"/>
  </cols>
  <sheetData>
    <row r="1" spans="1:4">
      <c r="A1" s="1" t="s">
        <v>29</v>
      </c>
    </row>
    <row r="2" spans="1:4">
      <c r="A2" s="2" t="s">
        <v>30</v>
      </c>
    </row>
    <row r="4" spans="1:4">
      <c r="A4" s="5" t="s">
        <v>3</v>
      </c>
      <c r="B4" s="5" t="s">
        <v>31</v>
      </c>
      <c r="C4" s="5" t="s">
        <v>32</v>
      </c>
      <c r="D4" s="5" t="s">
        <v>33</v>
      </c>
    </row>
    <row r="5" spans="1:4">
      <c r="A5" t="s">
        <v>8</v>
      </c>
      <c r="B5" s="6">
        <v>34613</v>
      </c>
      <c r="C5" s="6">
        <v>35500</v>
      </c>
      <c r="D5" s="6">
        <f>SUM(B5:C5)</f>
        <v>70113</v>
      </c>
    </row>
    <row r="6" spans="1:4">
      <c r="A6" t="s">
        <v>10</v>
      </c>
      <c r="B6" s="6">
        <v>21409</v>
      </c>
      <c r="C6" s="6">
        <v>23962</v>
      </c>
      <c r="D6" s="6">
        <f>SUM(B6:C6)</f>
        <v>45371</v>
      </c>
    </row>
    <row r="7" spans="1:4">
      <c r="A7" t="s">
        <v>12</v>
      </c>
      <c r="B7" s="6">
        <v>17928</v>
      </c>
      <c r="C7" s="6">
        <v>19163</v>
      </c>
      <c r="D7" s="6">
        <f>SUM(B7:C7)</f>
        <v>37091</v>
      </c>
    </row>
    <row r="8" spans="1:4">
      <c r="A8" t="s">
        <v>14</v>
      </c>
      <c r="B8" s="6">
        <v>10241</v>
      </c>
      <c r="C8" s="6">
        <v>10611</v>
      </c>
      <c r="D8" s="6">
        <f>SUM(B8:C8)</f>
        <v>20852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9"/>
  <sheetViews>
    <sheetView workbookViewId="0"/>
  </sheetViews>
  <sheetFormatPr defaultRowHeight="15"/>
  <cols>
    <col min="1" max="1" width="15.7109375" customWidth="1"/>
    <col min="2" max="4" width="16.7109375" customWidth="1"/>
  </cols>
  <sheetData>
    <row r="1" spans="1:4">
      <c r="A1" s="1" t="s">
        <v>34</v>
      </c>
    </row>
    <row r="2" spans="1:4">
      <c r="A2" s="2" t="s">
        <v>35</v>
      </c>
    </row>
    <row r="4" spans="1:4">
      <c r="A4" s="5" t="s">
        <v>36</v>
      </c>
      <c r="B4" s="5" t="s">
        <v>31</v>
      </c>
      <c r="C4" s="5" t="s">
        <v>32</v>
      </c>
      <c r="D4" s="5" t="s">
        <v>33</v>
      </c>
    </row>
    <row r="5" spans="1:4">
      <c r="A5" t="s">
        <v>37</v>
      </c>
      <c r="B5" s="6">
        <v>3443</v>
      </c>
      <c r="C5" s="6">
        <v>4237</v>
      </c>
      <c r="D5" s="6">
        <f>SUM(B5:C5)</f>
        <v>7680</v>
      </c>
    </row>
    <row r="6" spans="1:4">
      <c r="A6" t="s">
        <v>38</v>
      </c>
      <c r="B6" s="6">
        <v>3838</v>
      </c>
      <c r="C6" s="6">
        <v>4166</v>
      </c>
      <c r="D6" s="6">
        <f>SUM(B6:C6)</f>
        <v>8004</v>
      </c>
    </row>
    <row r="7" spans="1:4">
      <c r="A7" t="s">
        <v>39</v>
      </c>
      <c r="B7" s="6">
        <v>3896</v>
      </c>
      <c r="C7" s="6">
        <v>4122</v>
      </c>
      <c r="D7" s="6">
        <f>SUM(B7:C7)</f>
        <v>8018</v>
      </c>
    </row>
    <row r="8" spans="1:4">
      <c r="A8" t="s">
        <v>40</v>
      </c>
      <c r="B8" s="6">
        <v>3957</v>
      </c>
      <c r="C8" s="6">
        <v>4546</v>
      </c>
      <c r="D8" s="6">
        <f>SUM(B8:C8)</f>
        <v>8503</v>
      </c>
    </row>
    <row r="9" spans="1:4">
      <c r="A9" t="s">
        <v>41</v>
      </c>
      <c r="B9" s="6">
        <v>3947</v>
      </c>
      <c r="C9" s="6">
        <v>4497</v>
      </c>
      <c r="D9" s="6">
        <f>SUM(B9:C9)</f>
        <v>8444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Projection 2027</vt:lpstr>
      <vt:lpstr>Board revocations FY26</vt:lpstr>
      <vt:lpstr>Detainer days 2025</vt:lpstr>
      <vt:lpstr>Writ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