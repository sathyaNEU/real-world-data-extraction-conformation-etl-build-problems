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426C4A85-A8B2-5634-922F-811376C8383E}"/>
  </bookViews>
  <sheets>
    <sheet name="Renewal review" sheetId="1" r:id="rId1"/>
    <sheet name="Chart data" sheetId="2" r:id="rId2"/>
    <sheet name="Experience by year" sheetId="3" r:id="rId3"/>
    <sheet name="Q3 2026 member months" sheetId="4" r:id="rId4"/>
    <sheet name="2026 high-cost claimant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<sst xmlns="http://schemas.openxmlformats.org/spreadsheetml/2006/main" count="199" uniqueCount="67">
  <si>
    <t>6 of 18 employers are surcharged from 1 January 2027: CR113, CR118, CR131, CR149, CR167, CR176</t>
  </si>
  <si>
    <t>Expected 2027 retained claims per member per month: each employer's 2023 to 2025 retained claims trended at 7 per cent a year, weighed against the trust's by its credibility (Buhlmann-Straub), against the claims component of its elected 2027 contribution.</t>
  </si>
  <si>
    <t>Employer</t>
  </si>
  <si>
    <t>Employer name</t>
  </si>
  <si>
    <t>2023 to 2025 member months</t>
  </si>
  <si>
    <t>2023 to 2025 retained claims ($)</t>
  </si>
  <si>
    <t>Experience PMPM trended to 2027 ($)</t>
  </si>
  <si>
    <t>Credibility</t>
  </si>
  <si>
    <t>Expected 2027 PMPM ($)</t>
  </si>
  <si>
    <t>2027 claims component ($)</t>
  </si>
  <si>
    <t>Over (under) ($)</t>
  </si>
  <si>
    <t>Surcharged</t>
  </si>
  <si>
    <t>CR104</t>
  </si>
  <si>
    <t>Ashdown Veterinary Clinic</t>
  </si>
  <si>
    <t>no</t>
  </si>
  <si>
    <t>CR109</t>
  </si>
  <si>
    <t>Brightmere Signs &amp; Graphics</t>
  </si>
  <si>
    <t>CR113</t>
  </si>
  <si>
    <t>Calloway Hardware</t>
  </si>
  <si>
    <t>yes</t>
  </si>
  <si>
    <t>CR118</t>
  </si>
  <si>
    <t>Dunleith Title Company</t>
  </si>
  <si>
    <t>CR122</t>
  </si>
  <si>
    <t>Emberly Bakery Group</t>
  </si>
  <si>
    <t>CR127</t>
  </si>
  <si>
    <t>Fenwright Landscaping</t>
  </si>
  <si>
    <t>CR131</t>
  </si>
  <si>
    <t>Glasshouse Dental Partners</t>
  </si>
  <si>
    <t>CR136</t>
  </si>
  <si>
    <t>Harrowgate Machine Works</t>
  </si>
  <si>
    <t>CR140</t>
  </si>
  <si>
    <t>Inglewell Accounting</t>
  </si>
  <si>
    <t>CR145</t>
  </si>
  <si>
    <t>Juniper Ridge Montessori</t>
  </si>
  <si>
    <t>CR149</t>
  </si>
  <si>
    <t>Kettering Lane Motors</t>
  </si>
  <si>
    <t>CR154</t>
  </si>
  <si>
    <t>Lowfield Logistics</t>
  </si>
  <si>
    <t>CR158</t>
  </si>
  <si>
    <t>Marston Electric Supply</t>
  </si>
  <si>
    <t>CR163</t>
  </si>
  <si>
    <t>Northcote Engineering</t>
  </si>
  <si>
    <t>CR167</t>
  </si>
  <si>
    <t>Oakhurst Credit Union</t>
  </si>
  <si>
    <t>CR172</t>
  </si>
  <si>
    <t>Penrose Senior Living</t>
  </si>
  <si>
    <t>CR176</t>
  </si>
  <si>
    <t>Quarrington Foods</t>
  </si>
  <si>
    <t>CR181</t>
  </si>
  <si>
    <t>Rushmere County Library District</t>
  </si>
  <si>
    <t>Most member employers cover fewer than three hundred members, and one member's large claim moves a small employer's year by more than the employers truly differ: the three years' spread within an employer (expected process variance 14370277) against the spread between employers' true levels (1973) gives each employer a credibility of its member months over its member months plus 7285. An employer's expected 2027 claims are its credibility times its own trended experience plus the rest times the trust's, $500.25.</t>
  </si>
  <si>
    <t>Over (under) is the expected PMPM unrounded less the claims component. Retained claims are net of Westerby's specific reimbursements and before pharmacy rebates (renewal review memo, section 2).</t>
  </si>
  <si>
    <t>Retained claims per member per month by plan year, trended to 2027</t>
  </si>
  <si>
    <t>Claims incurred in the year and paid through 31 March of the next, less Westerby's reimbursements, at 7 per cent a year to 2027.</t>
  </si>
  <si>
    <t>2023 member months</t>
  </si>
  <si>
    <t>2023 PMPM ($)</t>
  </si>
  <si>
    <t>2024 member months</t>
  </si>
  <si>
    <t>2024 PMPM ($)</t>
  </si>
  <si>
    <t>2025 member months</t>
  </si>
  <si>
    <t>2025 PMPM ($)</t>
  </si>
  <si>
    <t>July to September 2026 member months</t>
  </si>
  <si>
    <t>Each person counted once a month: members Hallam reissued new ids at the summer 2026 eligibility move are one person under both.</t>
  </si>
  <si>
    <t>Member months</t>
  </si>
  <si>
    <t>Hallam's 2026 high-cost claimant report</t>
  </si>
  <si>
    <t>Members with $25,000 or more of 2026 claims, each counted once (a member reported under a new id is the same member), at the claims to date last reported.</t>
  </si>
  <si>
    <t>Members</t>
  </si>
  <si>
    <t>Claims to date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</si>
</sst>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(#,##0.00)"/>
  </numFmts>
  <fonts count="7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5A3F"/>
        <bgColor indexed="64"/>
      </patternFill>
    </fill>
    <fill>
      <patternFill patternType="solid">
        <fgColor rgb="FFE7EF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4" fillId="0" borderId="1" xfId="0" applyFont="1"/>
    <xf numFmtId="3" fontId="4" fillId="0" borderId="1" xfId="0" applyNumberFormat="1" applyFont="1" applyAlignment="1">
      <alignment horizontal="right"/>
    </xf>
    <xf numFmtId="2" fontId="4" fillId="0" borderId="1" xfId="0" applyNumberFormat="1" applyFont="1" applyAlignment="1">
      <alignment horizontal="right"/>
    </xf>
    <xf numFmtId="4" fontId="4" fillId="0" borderId="1" xfId="0" applyNumberFormat="1" applyFont="1" applyAlignment="1">
      <alignment horizontal="right"/>
    </xf>
    <xf numFmtId="164" fontId="4" fillId="0" borderId="1" xfId="0" applyNumberFormat="1" applyFont="1" applyAlignment="1">
      <alignment horizontal="right"/>
    </xf>
    <xf numFmtId="0" fontId="4" fillId="0" borderId="1" xfId="0" applyFont="1" applyAlignment="1">
      <alignment horizontal="right"/>
    </xf>
    <xf numFmtId="0" fontId="5" fillId="3" borderId="1" xfId="0" applyFont="1" applyFill="1"/>
    <xf numFmtId="3" fontId="4" fillId="3" borderId="1" xfId="0" applyNumberFormat="1" applyFont="1" applyFill="1" applyAlignment="1">
      <alignment horizontal="right"/>
    </xf>
    <xf numFmtId="2" fontId="4" fillId="3" borderId="1" xfId="0" applyNumberFormat="1" applyFont="1" applyFill="1" applyAlignment="1">
      <alignment horizontal="right"/>
    </xf>
    <xf numFmtId="4" fontId="4" fillId="3" borderId="1" xfId="0" applyNumberFormat="1" applyFont="1" applyFill="1" applyAlignment="1">
      <alignment horizontal="right"/>
    </xf>
    <xf numFmtId="164" fontId="4" fillId="3" borderId="1" xfId="0" applyNumberFormat="1" applyFont="1" applyFill="1" applyAlignment="1">
      <alignment horizontal="right"/>
    </xf>
    <xf numFmtId="0" fontId="5" fillId="3" borderId="1" xfId="0" applyFont="1" applyFill="1" applyAlignment="1">
      <alignment horizontal="right"/>
    </xf>
    <xf numFmtId="0" fontId="6" fillId="0" borderId="0" xfId="0" applyFont="1" applyAlignment="1">
      <alignment vertical="top" wrapText="1"/>
    </xf>
    <xf numFmtId="3" fontId="4" fillId="0" borderId="1" xfId="0" applyNumberFormat="1" applyFont="1"/>
    <xf numFmtId="1" fontId="4" fillId="0" borderId="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Six employers' expected 2027 claims run over their claims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solidFill xmlns:a="http://schemas.openxmlformats.org/drawingml/2006/main">
              <a:srgbClr val="2C5A3F"/>
            </a:solidFill>
            <a:ln xmlns:a="http://schemas.openxmlformats.org/drawingml/2006/main">
              <a:prstDash val="solid"/>
            </a:ln>
          </spPr>
          <dPt>
            <idx val="2"/>
            <spPr>
              <a:solidFill xmlns:a="http://schemas.openxmlformats.org/drawingml/2006/main">
                <a:srgbClr val="B4452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4452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4452F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B4452F"/>
              </a:solidFill>
              <a:ln xmlns:a="http://schemas.openxmlformats.org/drawingml/2006/main"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B4452F"/>
              </a:solidFill>
              <a:ln xmlns:a="http://schemas.openxmlformats.org/drawingml/2006/main"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B4452F"/>
              </a:solidFill>
              <a:ln xmlns:a="http://schemas.openxmlformats.org/drawingml/2006/main">
                <a:prstDash val="solid"/>
              </a:ln>
            </spPr>
          </dPt>
          <cat>
            <numRef>
              <f>'Chart data'!$A$2:$A$19</f>
            </numRef>
          </cat>
          <val>
            <numRef>
              <f>'Chart data'!$B$2:$B$19</f>
            </numRef>
          </val>
        </ser>
        <ser>
          <idx val="1"/>
          <order val="1"/>
          <tx>
            <strRef>
              <f>'Chart data'!C1</f>
            </strRef>
          </tx>
          <spPr>
            <a:solidFill xmlns:a="http://schemas.openxmlformats.org/drawingml/2006/main">
              <a:srgbClr val="A3ACB8"/>
            </a:solidFill>
            <a:ln xmlns:a="http://schemas.openxmlformats.org/drawingml/2006/main">
              <a:prstDash val="solid"/>
            </a:ln>
          </spPr>
          <cat>
            <numRef>
              <f>'Chart data'!$A$2:$A$19</f>
            </numRef>
          </cat>
          <val>
            <numRef>
              <f>'Chart data'!$C$2:$C$19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  <min val="3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 per member per month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?xml version="1.0" encoding="UTF-8" standalone="yes"?>
<Relationships xmlns="http://schemas.openxmlformats.org/package/2006/relationships"><Relationship Type="http://schemas.openxmlformats.org/officeDocument/2006/relationships/chart" Target="..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100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Type="http://schemas.openxmlformats.org/officeDocument/2006/relationships/drawing" Target="..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17F6-BAA0-5D43-ADCD-987A7C5E2D4E}">
  <sheetPr>
    <pageSetUpPr fitToPage="1"/>
  </sheetPr>
  <dimension ref="A1:J2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cols>
    <col min="1" max="1" width="9.7109375" customWidth="1"/>
    <col min="2" max="2" width="32.7109375" customWidth="1"/>
    <col min="3" max="3" width="12.7109375" customWidth="1"/>
    <col min="4" max="4" width="15.7109375" customWidth="1"/>
    <col min="5" max="5" width="13.7109375" customWidth="1"/>
    <col min="6" max="6" width="10.7109375" customWidth="1"/>
    <col min="7" max="7" width="12.7109375" customWidth="1"/>
    <col min="8" max="8" width="12.7109375" customWidth="1"/>
    <col min="9" max="9" width="11.7109375" customWidth="1"/>
    <col min="10" max="10" width="10.7109375" customWidth="1"/>
  </cols>
  <sheetData>
    <row r="1" spans="1:10" x14ac:dyDescent="0.25">
      <c r="A1" s="1" t="s">
        <v>0</v>
      </c>
    </row>
    <row r="2" spans="1:10" x14ac:dyDescent="0.25">
      <c r="A2" s="2" t="s">
        <v>1</v>
      </c>
    </row>
    <row r="4" spans="1:10" ht="42" customHeight="1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25">
      <c r="A5" s="5" t="s">
        <v>12</v>
      </c>
      <c r="B5" s="5" t="s">
        <v>13</v>
      </c>
      <c r="C5" s="6">
        <v>1188</v>
      </c>
      <c r="D5" s="6">
        <v>570275</v>
      </c>
      <c r="E5" s="6">
        <v>578</v>
      </c>
      <c r="F5" s="7">
        <v>0.14</v>
      </c>
      <c r="G5" s="6">
        <v>511</v>
      </c>
      <c r="H5" s="8">
        <v>548.88</v>
      </c>
      <c r="I5" s="9">
        <v>-37.7</v>
      </c>
      <c r="J5" s="10" t="s">
        <v>14</v>
      </c>
    </row>
    <row r="6" spans="1:10" x14ac:dyDescent="0.25">
      <c r="A6" s="5" t="s">
        <v>15</v>
      </c>
      <c r="B6" s="5" t="s">
        <v>16</v>
      </c>
      <c r="C6" s="6">
        <v>1532</v>
      </c>
      <c r="D6" s="6">
        <v>786018</v>
      </c>
      <c r="E6" s="6">
        <v>628</v>
      </c>
      <c r="F6" s="7">
        <v>0.17</v>
      </c>
      <c r="G6" s="6">
        <v>523</v>
      </c>
      <c r="H6" s="8">
        <v>583.9299999999999</v>
      </c>
      <c r="I6" s="9">
        <v>-61.42</v>
      </c>
      <c r="J6" s="10" t="s">
        <v>14</v>
      </c>
    </row>
    <row r="7" spans="1:10" x14ac:dyDescent="0.25">
      <c r="A7" s="11" t="s">
        <v>17</v>
      </c>
      <c r="B7" s="11" t="s">
        <v>18</v>
      </c>
      <c r="C7" s="12">
        <v>1717</v>
      </c>
      <c r="D7" s="12">
        <v>635494</v>
      </c>
      <c r="E7" s="12">
        <v>460</v>
      </c>
      <c r="F7" s="13">
        <v>0.19</v>
      </c>
      <c r="G7" s="12">
        <v>492</v>
      </c>
      <c r="H7" s="14">
        <v>475.3</v>
      </c>
      <c r="I7" s="15">
        <v>17.2</v>
      </c>
      <c r="J7" s="16" t="s">
        <v>19</v>
      </c>
    </row>
    <row r="8" spans="1:10" x14ac:dyDescent="0.25">
      <c r="A8" s="11" t="s">
        <v>20</v>
      </c>
      <c r="B8" s="11" t="s">
        <v>21</v>
      </c>
      <c r="C8" s="12">
        <v>2000</v>
      </c>
      <c r="D8" s="12">
        <v>724064</v>
      </c>
      <c r="E8" s="12">
        <v>446</v>
      </c>
      <c r="F8" s="13">
        <v>0.22</v>
      </c>
      <c r="G8" s="12">
        <v>488</v>
      </c>
      <c r="H8" s="14">
        <v>467.01</v>
      </c>
      <c r="I8" s="15">
        <v>21.48</v>
      </c>
      <c r="J8" s="16" t="s">
        <v>19</v>
      </c>
    </row>
    <row r="9" spans="1:10" x14ac:dyDescent="0.25">
      <c r="A9" s="5" t="s">
        <v>22</v>
      </c>
      <c r="B9" s="5" t="s">
        <v>23</v>
      </c>
      <c r="C9" s="6">
        <v>2340</v>
      </c>
      <c r="D9" s="6">
        <v>1052932</v>
      </c>
      <c r="E9" s="6">
        <v>554</v>
      </c>
      <c r="F9" s="7">
        <v>0.24</v>
      </c>
      <c r="G9" s="6">
        <v>513</v>
      </c>
      <c r="H9" s="8">
        <v>585.34</v>
      </c>
      <c r="I9" s="9">
        <v>-72.09</v>
      </c>
      <c r="J9" s="10" t="s">
        <v>14</v>
      </c>
    </row>
    <row r="10" spans="1:10" x14ac:dyDescent="0.25">
      <c r="A10" s="5" t="s">
        <v>24</v>
      </c>
      <c r="B10" s="5" t="s">
        <v>25</v>
      </c>
      <c r="C10" s="6">
        <v>2563</v>
      </c>
      <c r="D10" s="6">
        <v>1052856</v>
      </c>
      <c r="E10" s="6">
        <v>502</v>
      </c>
      <c r="F10" s="7">
        <v>0.26</v>
      </c>
      <c r="G10" s="6">
        <v>501</v>
      </c>
      <c r="H10" s="8">
        <v>555.87</v>
      </c>
      <c r="I10" s="9">
        <v>-55.15</v>
      </c>
      <c r="J10" s="10" t="s">
        <v>14</v>
      </c>
    </row>
    <row r="11" spans="1:10" x14ac:dyDescent="0.25">
      <c r="A11" s="11" t="s">
        <v>26</v>
      </c>
      <c r="B11" s="11" t="s">
        <v>27</v>
      </c>
      <c r="C11" s="12">
        <v>3080</v>
      </c>
      <c r="D11" s="12">
        <v>1130109</v>
      </c>
      <c r="E11" s="12">
        <v>453</v>
      </c>
      <c r="F11" s="13">
        <v>0.3</v>
      </c>
      <c r="G11" s="12">
        <v>486</v>
      </c>
      <c r="H11" s="14">
        <v>468.1</v>
      </c>
      <c r="I11" s="15">
        <v>17.97</v>
      </c>
      <c r="J11" s="16" t="s">
        <v>19</v>
      </c>
    </row>
    <row r="12" spans="1:10" x14ac:dyDescent="0.25">
      <c r="A12" s="5" t="s">
        <v>28</v>
      </c>
      <c r="B12" s="5" t="s">
        <v>29</v>
      </c>
      <c r="C12" s="6">
        <v>3665</v>
      </c>
      <c r="D12" s="6">
        <v>2009124</v>
      </c>
      <c r="E12" s="6">
        <v>673</v>
      </c>
      <c r="F12" s="7">
        <v>0.33</v>
      </c>
      <c r="G12" s="6">
        <v>558</v>
      </c>
      <c r="H12" s="8">
        <v>594.3099999999999</v>
      </c>
      <c r="I12" s="9">
        <v>-36.36</v>
      </c>
      <c r="J12" s="10" t="s">
        <v>14</v>
      </c>
    </row>
    <row r="13" spans="1:10" x14ac:dyDescent="0.25">
      <c r="A13" s="5" t="s">
        <v>30</v>
      </c>
      <c r="B13" s="5" t="s">
        <v>31</v>
      </c>
      <c r="C13" s="6">
        <v>4015</v>
      </c>
      <c r="D13" s="6">
        <v>1559296</v>
      </c>
      <c r="E13" s="6">
        <v>477</v>
      </c>
      <c r="F13" s="7">
        <v>0.36</v>
      </c>
      <c r="G13" s="6">
        <v>492</v>
      </c>
      <c r="H13" s="8">
        <v>538</v>
      </c>
      <c r="I13" s="9">
        <v>-46.09</v>
      </c>
      <c r="J13" s="10" t="s">
        <v>14</v>
      </c>
    </row>
    <row r="14" spans="1:10" x14ac:dyDescent="0.25">
      <c r="A14" s="5" t="s">
        <v>32</v>
      </c>
      <c r="B14" s="5" t="s">
        <v>33</v>
      </c>
      <c r="C14" s="6">
        <v>4803</v>
      </c>
      <c r="D14" s="6">
        <v>1911945</v>
      </c>
      <c r="E14" s="6">
        <v>489</v>
      </c>
      <c r="F14" s="7">
        <v>0.4</v>
      </c>
      <c r="G14" s="6">
        <v>496</v>
      </c>
      <c r="H14" s="8">
        <v>528.92</v>
      </c>
      <c r="I14" s="9">
        <v>-32.99</v>
      </c>
      <c r="J14" s="10" t="s">
        <v>14</v>
      </c>
    </row>
    <row r="15" spans="1:10" x14ac:dyDescent="0.25">
      <c r="A15" s="11" t="s">
        <v>34</v>
      </c>
      <c r="B15" s="11" t="s">
        <v>35</v>
      </c>
      <c r="C15" s="12">
        <v>5612</v>
      </c>
      <c r="D15" s="12">
        <v>1933252</v>
      </c>
      <c r="E15" s="12">
        <v>421</v>
      </c>
      <c r="F15" s="13">
        <v>0.44</v>
      </c>
      <c r="G15" s="12">
        <v>466</v>
      </c>
      <c r="H15" s="14">
        <v>445.54</v>
      </c>
      <c r="I15" s="15">
        <v>20.44</v>
      </c>
      <c r="J15" s="16" t="s">
        <v>19</v>
      </c>
    </row>
    <row r="16" spans="1:10" x14ac:dyDescent="0.25">
      <c r="A16" s="5" t="s">
        <v>36</v>
      </c>
      <c r="B16" s="5" t="s">
        <v>37</v>
      </c>
      <c r="C16" s="6">
        <v>6738</v>
      </c>
      <c r="D16" s="6">
        <v>2567375</v>
      </c>
      <c r="E16" s="6">
        <v>471</v>
      </c>
      <c r="F16" s="7">
        <v>0.48</v>
      </c>
      <c r="G16" s="6">
        <v>486</v>
      </c>
      <c r="H16" s="8">
        <v>545.77</v>
      </c>
      <c r="I16" s="9">
        <v>-59.73</v>
      </c>
      <c r="J16" s="10" t="s">
        <v>14</v>
      </c>
    </row>
    <row r="17" spans="1:10" x14ac:dyDescent="0.25">
      <c r="A17" s="5" t="s">
        <v>38</v>
      </c>
      <c r="B17" s="5" t="s">
        <v>39</v>
      </c>
      <c r="C17" s="6">
        <v>7761</v>
      </c>
      <c r="D17" s="6">
        <v>3015118</v>
      </c>
      <c r="E17" s="6">
        <v>478</v>
      </c>
      <c r="F17" s="7">
        <v>0.52</v>
      </c>
      <c r="G17" s="6">
        <v>489</v>
      </c>
      <c r="H17" s="8">
        <v>530.29</v>
      </c>
      <c r="I17" s="9">
        <v>-41.28</v>
      </c>
      <c r="J17" s="10" t="s">
        <v>14</v>
      </c>
    </row>
    <row r="18" spans="1:10" x14ac:dyDescent="0.25">
      <c r="A18" s="5" t="s">
        <v>40</v>
      </c>
      <c r="B18" s="5" t="s">
        <v>41</v>
      </c>
      <c r="C18" s="6">
        <v>10142</v>
      </c>
      <c r="D18" s="6">
        <v>4551710</v>
      </c>
      <c r="E18" s="6">
        <v>548</v>
      </c>
      <c r="F18" s="7">
        <v>0.58</v>
      </c>
      <c r="G18" s="6">
        <v>528</v>
      </c>
      <c r="H18" s="8">
        <v>644.92</v>
      </c>
      <c r="I18" s="9">
        <v>-117.13</v>
      </c>
      <c r="J18" s="10" t="s">
        <v>14</v>
      </c>
    </row>
    <row r="19" spans="1:10" x14ac:dyDescent="0.25">
      <c r="A19" s="11" t="s">
        <v>42</v>
      </c>
      <c r="B19" s="11" t="s">
        <v>43</v>
      </c>
      <c r="C19" s="12">
        <v>13055</v>
      </c>
      <c r="D19" s="12">
        <v>5042149</v>
      </c>
      <c r="E19" s="12">
        <v>468</v>
      </c>
      <c r="F19" s="13">
        <v>0.64</v>
      </c>
      <c r="G19" s="12">
        <v>480</v>
      </c>
      <c r="H19" s="14">
        <v>451.19</v>
      </c>
      <c r="I19" s="15">
        <v>28.43</v>
      </c>
      <c r="J19" s="16" t="s">
        <v>19</v>
      </c>
    </row>
    <row r="20" spans="1:10" x14ac:dyDescent="0.25">
      <c r="A20" s="5" t="s">
        <v>44</v>
      </c>
      <c r="B20" s="5" t="s">
        <v>45</v>
      </c>
      <c r="C20" s="6">
        <v>17051</v>
      </c>
      <c r="D20" s="6">
        <v>7351552</v>
      </c>
      <c r="E20" s="6">
        <v>526</v>
      </c>
      <c r="F20" s="7">
        <v>0.7</v>
      </c>
      <c r="G20" s="6">
        <v>518</v>
      </c>
      <c r="H20" s="8">
        <v>600.84</v>
      </c>
      <c r="I20" s="9">
        <v>-82.81</v>
      </c>
      <c r="J20" s="10" t="s">
        <v>14</v>
      </c>
    </row>
    <row r="21" spans="1:10" x14ac:dyDescent="0.25">
      <c r="A21" s="11" t="s">
        <v>46</v>
      </c>
      <c r="B21" s="11" t="s">
        <v>47</v>
      </c>
      <c r="C21" s="12">
        <v>23028</v>
      </c>
      <c r="D21" s="12">
        <v>10781066</v>
      </c>
      <c r="E21" s="12">
        <v>572</v>
      </c>
      <c r="F21" s="13">
        <v>0.76</v>
      </c>
      <c r="G21" s="12">
        <v>555</v>
      </c>
      <c r="H21" s="14">
        <v>474.6</v>
      </c>
      <c r="I21" s="15">
        <v>80.14</v>
      </c>
      <c r="J21" s="16" t="s">
        <v>19</v>
      </c>
    </row>
    <row r="22" spans="1:10" x14ac:dyDescent="0.25">
      <c r="A22" s="5" t="s">
        <v>48</v>
      </c>
      <c r="B22" s="5" t="s">
        <v>49</v>
      </c>
      <c r="C22" s="6">
        <v>31650</v>
      </c>
      <c r="D22" s="6">
        <v>11351774</v>
      </c>
      <c r="E22" s="6">
        <v>440</v>
      </c>
      <c r="F22" s="7">
        <v>0.8100000000000001</v>
      </c>
      <c r="G22" s="6">
        <v>451</v>
      </c>
      <c r="H22" s="8">
        <v>483.85</v>
      </c>
      <c r="I22" s="9">
        <v>-32.7</v>
      </c>
      <c r="J22" s="10" t="s">
        <v>14</v>
      </c>
    </row>
    <row r="24" spans="1:10" ht="52" customHeight="1" x14ac:dyDescent="0.25">
      <c r="A24" s="17" t="s">
        <v>50</v>
      </c>
    </row>
    <row r="25" spans="1:10" ht="52" customHeight="1" x14ac:dyDescent="0.25">
      <c r="A25" s="17" t="s">
        <v>51</v>
      </c>
    </row>
  </sheetData>
  <mergeCells count="2">
    <mergeCell ref="A25:J25"/>
    <mergeCell ref="A24:J24"/>
  </mergeCells>
  <pageMargins left="0.7" right="0.7" top="0.75" bottom="0.75" header="0.3" footer="0.3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0F12-DE7E-5000-B3EC-B78A295F2EA0}">
  <sheetPr>
    <pageSetUpPr fitToPage="1"/>
  </sheetPr>
  <dimension ref="A1:C19"/>
  <sheetViews>
    <sheetView showGridLines="0" workbookViewId="0">
      <selection activeCell="A1" sqref="A1"/>
    </sheetView>
  </sheetViews>
  <sheetFormatPr defaultRowHeight="15" x14ac:dyDescent="0.25"/>
  <sheetData>
    <row r="1" spans="1:3" x14ac:dyDescent="0.25">
      <c r="A1" t="s">
        <v>2</v>
      </c>
      <c r="B1" t="s">
        <v>8</v>
      </c>
      <c r="C1" t="s">
        <v>9</v>
      </c>
    </row>
    <row r="2" spans="1:3" x14ac:dyDescent="0.25">
      <c r="A2" t="s">
        <v>12</v>
      </c>
      <c r="B2">
        <v>511.18</v>
      </c>
      <c r="C2">
        <v>548.88</v>
      </c>
    </row>
    <row r="3" spans="1:3" x14ac:dyDescent="0.25">
      <c r="A3" t="s">
        <v>15</v>
      </c>
      <c r="B3">
        <v>522.51</v>
      </c>
      <c r="C3">
        <v>583.9299999999999</v>
      </c>
    </row>
    <row r="4" spans="1:3" x14ac:dyDescent="0.25">
      <c r="A4" t="s">
        <v>17</v>
      </c>
      <c r="B4">
        <v>492.5</v>
      </c>
      <c r="C4">
        <v>475.3</v>
      </c>
    </row>
    <row r="5" spans="1:3" x14ac:dyDescent="0.25">
      <c r="A5" t="s">
        <v>20</v>
      </c>
      <c r="B5">
        <v>488.49</v>
      </c>
      <c r="C5">
        <v>467.01</v>
      </c>
    </row>
    <row r="6" spans="1:3" x14ac:dyDescent="0.25">
      <c r="A6" t="s">
        <v>22</v>
      </c>
      <c r="B6">
        <v>513.25</v>
      </c>
      <c r="C6">
        <v>585.34</v>
      </c>
    </row>
    <row r="7" spans="1:3" x14ac:dyDescent="0.25">
      <c r="A7" t="s">
        <v>24</v>
      </c>
      <c r="B7">
        <v>500.72</v>
      </c>
      <c r="C7">
        <v>555.87</v>
      </c>
    </row>
    <row r="8" spans="1:3" x14ac:dyDescent="0.25">
      <c r="A8" t="s">
        <v>26</v>
      </c>
      <c r="B8">
        <v>486.07</v>
      </c>
      <c r="C8">
        <v>468.1</v>
      </c>
    </row>
    <row r="9" spans="1:3" x14ac:dyDescent="0.25">
      <c r="A9" t="s">
        <v>28</v>
      </c>
      <c r="B9">
        <v>557.95</v>
      </c>
      <c r="C9">
        <v>594.3099999999999</v>
      </c>
    </row>
    <row r="10" spans="1:3" x14ac:dyDescent="0.25">
      <c r="A10" t="s">
        <v>30</v>
      </c>
      <c r="B10">
        <v>491.91</v>
      </c>
      <c r="C10">
        <v>538</v>
      </c>
    </row>
    <row r="11" spans="1:3" x14ac:dyDescent="0.25">
      <c r="A11" t="s">
        <v>32</v>
      </c>
      <c r="B11">
        <v>495.93</v>
      </c>
      <c r="C11">
        <v>528.92</v>
      </c>
    </row>
    <row r="12" spans="1:3" x14ac:dyDescent="0.25">
      <c r="A12" t="s">
        <v>34</v>
      </c>
      <c r="B12">
        <v>465.98</v>
      </c>
      <c r="C12">
        <v>445.54</v>
      </c>
    </row>
    <row r="13" spans="1:3" x14ac:dyDescent="0.25">
      <c r="A13" t="s">
        <v>36</v>
      </c>
      <c r="B13">
        <v>486.04</v>
      </c>
      <c r="C13">
        <v>545.77</v>
      </c>
    </row>
    <row r="14" spans="1:3" x14ac:dyDescent="0.25">
      <c r="A14" t="s">
        <v>38</v>
      </c>
      <c r="B14">
        <v>489.01</v>
      </c>
      <c r="C14">
        <v>530.29</v>
      </c>
    </row>
    <row r="15" spans="1:3" x14ac:dyDescent="0.25">
      <c r="A15" t="s">
        <v>40</v>
      </c>
      <c r="B15">
        <v>527.79</v>
      </c>
      <c r="C15">
        <v>644.92</v>
      </c>
    </row>
    <row r="16" spans="1:3" x14ac:dyDescent="0.25">
      <c r="A16" t="s">
        <v>42</v>
      </c>
      <c r="B16">
        <v>479.62</v>
      </c>
      <c r="C16">
        <v>451.19</v>
      </c>
    </row>
    <row r="17" spans="1:3" x14ac:dyDescent="0.25">
      <c r="A17" t="s">
        <v>44</v>
      </c>
      <c r="B17">
        <v>518.03</v>
      </c>
      <c r="C17">
        <v>600.84</v>
      </c>
    </row>
    <row r="18" spans="1:3" x14ac:dyDescent="0.25">
      <c r="A18" t="s">
        <v>46</v>
      </c>
      <c r="B18">
        <v>554.74</v>
      </c>
      <c r="C18">
        <v>474.6</v>
      </c>
    </row>
    <row r="19" spans="1:3" x14ac:dyDescent="0.25">
      <c r="A19" t="s">
        <v>48</v>
      </c>
      <c r="B19">
        <v>451.15</v>
      </c>
      <c r="C19">
        <v>483.85</v>
      </c>
    </row>
  </sheetData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94BE-C7E6-5DD9-B382-9DFEE48BD11B}">
  <sheetPr>
    <pageSetUpPr fitToPage="1"/>
  </sheetPr>
  <dimension ref="A1:G22"/>
  <sheetViews>
    <sheetView showGridLines="0" workbookViewId="0">
      <selection activeCell="A1" sqref="A1"/>
    </sheetView>
  </sheetViews>
  <sheetFormatPr defaultRowHeight="15" x14ac:dyDescent="0.25"/>
  <cols>
    <col min="1" max="1" width="9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1.7109375" customWidth="1"/>
    <col min="7" max="7" width="11.7109375" customWidth="1"/>
  </cols>
  <sheetData>
    <row r="1" spans="1:7" x14ac:dyDescent="0.25">
      <c r="A1" s="1" t="s">
        <v>52</v>
      </c>
    </row>
    <row r="2" spans="1:7" x14ac:dyDescent="0.25">
      <c r="A2" s="2" t="s">
        <v>53</v>
      </c>
    </row>
    <row r="4" spans="1:7" ht="42" customHeight="1" x14ac:dyDescent="0.25">
      <c r="A4" s="3" t="s">
        <v>2</v>
      </c>
      <c r="B4" s="3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</row>
    <row r="5" spans="1:7" x14ac:dyDescent="0.25">
      <c r="A5" s="5" t="s">
        <v>12</v>
      </c>
      <c r="B5" s="18">
        <v>406</v>
      </c>
      <c r="C5" s="18">
        <v>483</v>
      </c>
      <c r="D5" s="18">
        <v>386</v>
      </c>
      <c r="E5" s="18">
        <v>365</v>
      </c>
      <c r="F5" s="18">
        <v>396</v>
      </c>
      <c r="G5" s="18">
        <v>884</v>
      </c>
    </row>
    <row r="6" spans="1:7" x14ac:dyDescent="0.25">
      <c r="A6" s="5" t="s">
        <v>15</v>
      </c>
      <c r="B6" s="18">
        <v>516</v>
      </c>
      <c r="C6" s="18">
        <v>655</v>
      </c>
      <c r="D6" s="18">
        <v>512</v>
      </c>
      <c r="E6" s="18">
        <v>595</v>
      </c>
      <c r="F6" s="18">
        <v>504</v>
      </c>
      <c r="G6" s="18">
        <v>635</v>
      </c>
    </row>
    <row r="7" spans="1:7" x14ac:dyDescent="0.25">
      <c r="A7" s="5" t="s">
        <v>17</v>
      </c>
      <c r="B7" s="18">
        <v>576</v>
      </c>
      <c r="C7" s="18">
        <v>630</v>
      </c>
      <c r="D7" s="18">
        <v>576</v>
      </c>
      <c r="E7" s="18">
        <v>414</v>
      </c>
      <c r="F7" s="18">
        <v>565</v>
      </c>
      <c r="G7" s="18">
        <v>332</v>
      </c>
    </row>
    <row r="8" spans="1:7" x14ac:dyDescent="0.25">
      <c r="A8" s="5" t="s">
        <v>20</v>
      </c>
      <c r="B8" s="18">
        <v>672</v>
      </c>
      <c r="C8" s="18">
        <v>478</v>
      </c>
      <c r="D8" s="18">
        <v>672</v>
      </c>
      <c r="E8" s="18">
        <v>492</v>
      </c>
      <c r="F8" s="18">
        <v>656</v>
      </c>
      <c r="G8" s="18">
        <v>365</v>
      </c>
    </row>
    <row r="9" spans="1:7" x14ac:dyDescent="0.25">
      <c r="A9" s="5" t="s">
        <v>22</v>
      </c>
      <c r="B9" s="18">
        <v>780</v>
      </c>
      <c r="C9" s="18">
        <v>649</v>
      </c>
      <c r="D9" s="18">
        <v>780</v>
      </c>
      <c r="E9" s="18">
        <v>513</v>
      </c>
      <c r="F9" s="18">
        <v>780</v>
      </c>
      <c r="G9" s="18">
        <v>500</v>
      </c>
    </row>
    <row r="10" spans="1:7" x14ac:dyDescent="0.25">
      <c r="A10" s="5" t="s">
        <v>24</v>
      </c>
      <c r="B10" s="18">
        <v>883</v>
      </c>
      <c r="C10" s="18">
        <v>480</v>
      </c>
      <c r="D10" s="18">
        <v>852</v>
      </c>
      <c r="E10" s="18">
        <v>498</v>
      </c>
      <c r="F10" s="18">
        <v>828</v>
      </c>
      <c r="G10" s="18">
        <v>530</v>
      </c>
    </row>
    <row r="11" spans="1:7" x14ac:dyDescent="0.25">
      <c r="A11" s="5" t="s">
        <v>26</v>
      </c>
      <c r="B11" s="18">
        <v>1020</v>
      </c>
      <c r="C11" s="18">
        <v>518</v>
      </c>
      <c r="D11" s="18">
        <v>1030</v>
      </c>
      <c r="E11" s="18">
        <v>490</v>
      </c>
      <c r="F11" s="18">
        <v>1030</v>
      </c>
      <c r="G11" s="18">
        <v>350</v>
      </c>
    </row>
    <row r="12" spans="1:7" x14ac:dyDescent="0.25">
      <c r="A12" s="5" t="s">
        <v>28</v>
      </c>
      <c r="B12" s="18">
        <v>1200</v>
      </c>
      <c r="C12" s="18">
        <v>733</v>
      </c>
      <c r="D12" s="18">
        <v>1235</v>
      </c>
      <c r="E12" s="18">
        <v>663</v>
      </c>
      <c r="F12" s="18">
        <v>1230</v>
      </c>
      <c r="G12" s="18">
        <v>623</v>
      </c>
    </row>
    <row r="13" spans="1:7" x14ac:dyDescent="0.25">
      <c r="A13" s="5" t="s">
        <v>30</v>
      </c>
      <c r="B13" s="18">
        <v>1354</v>
      </c>
      <c r="C13" s="18">
        <v>533</v>
      </c>
      <c r="D13" s="18">
        <v>1332</v>
      </c>
      <c r="E13" s="18">
        <v>433</v>
      </c>
      <c r="F13" s="18">
        <v>1329</v>
      </c>
      <c r="G13" s="18">
        <v>464</v>
      </c>
    </row>
    <row r="14" spans="1:7" x14ac:dyDescent="0.25">
      <c r="A14" s="5" t="s">
        <v>32</v>
      </c>
      <c r="B14" s="18">
        <v>1594</v>
      </c>
      <c r="C14" s="18">
        <v>495</v>
      </c>
      <c r="D14" s="18">
        <v>1601</v>
      </c>
      <c r="E14" s="18">
        <v>589</v>
      </c>
      <c r="F14" s="18">
        <v>1608</v>
      </c>
      <c r="G14" s="18">
        <v>385</v>
      </c>
    </row>
    <row r="15" spans="1:7" x14ac:dyDescent="0.25">
      <c r="A15" s="5" t="s">
        <v>34</v>
      </c>
      <c r="B15" s="18">
        <v>1878</v>
      </c>
      <c r="C15" s="18">
        <v>397</v>
      </c>
      <c r="D15" s="18">
        <v>1874</v>
      </c>
      <c r="E15" s="18">
        <v>471</v>
      </c>
      <c r="F15" s="18">
        <v>1860</v>
      </c>
      <c r="G15" s="18">
        <v>397</v>
      </c>
    </row>
    <row r="16" spans="1:7" x14ac:dyDescent="0.25">
      <c r="A16" s="5" t="s">
        <v>36</v>
      </c>
      <c r="B16" s="18">
        <v>2244</v>
      </c>
      <c r="C16" s="18">
        <v>555</v>
      </c>
      <c r="D16" s="18">
        <v>2246</v>
      </c>
      <c r="E16" s="18">
        <v>507</v>
      </c>
      <c r="F16" s="18">
        <v>2248</v>
      </c>
      <c r="G16" s="18">
        <v>350</v>
      </c>
    </row>
    <row r="17" spans="1:7" x14ac:dyDescent="0.25">
      <c r="A17" s="5" t="s">
        <v>38</v>
      </c>
      <c r="B17" s="18">
        <v>2670</v>
      </c>
      <c r="C17" s="18">
        <v>488</v>
      </c>
      <c r="D17" s="18">
        <v>2587</v>
      </c>
      <c r="E17" s="18">
        <v>570</v>
      </c>
      <c r="F17" s="18">
        <v>2504</v>
      </c>
      <c r="G17" s="18">
        <v>374</v>
      </c>
    </row>
    <row r="18" spans="1:7" x14ac:dyDescent="0.25">
      <c r="A18" s="5" t="s">
        <v>40</v>
      </c>
      <c r="B18" s="18">
        <v>3394</v>
      </c>
      <c r="C18" s="18">
        <v>544</v>
      </c>
      <c r="D18" s="18">
        <v>3369</v>
      </c>
      <c r="E18" s="18">
        <v>492</v>
      </c>
      <c r="F18" s="18">
        <v>3379</v>
      </c>
      <c r="G18" s="18">
        <v>606</v>
      </c>
    </row>
    <row r="19" spans="1:7" x14ac:dyDescent="0.25">
      <c r="A19" s="5" t="s">
        <v>42</v>
      </c>
      <c r="B19" s="18">
        <v>4330</v>
      </c>
      <c r="C19" s="18">
        <v>433</v>
      </c>
      <c r="D19" s="18">
        <v>4336</v>
      </c>
      <c r="E19" s="18">
        <v>356</v>
      </c>
      <c r="F19" s="18">
        <v>4389</v>
      </c>
      <c r="G19" s="18">
        <v>614</v>
      </c>
    </row>
    <row r="20" spans="1:7" x14ac:dyDescent="0.25">
      <c r="A20" s="5" t="s">
        <v>44</v>
      </c>
      <c r="B20" s="18">
        <v>5669</v>
      </c>
      <c r="C20" s="18">
        <v>506</v>
      </c>
      <c r="D20" s="18">
        <v>5690</v>
      </c>
      <c r="E20" s="18">
        <v>491</v>
      </c>
      <c r="F20" s="18">
        <v>5692</v>
      </c>
      <c r="G20" s="18">
        <v>580</v>
      </c>
    </row>
    <row r="21" spans="1:7" x14ac:dyDescent="0.25">
      <c r="A21" s="5" t="s">
        <v>46</v>
      </c>
      <c r="B21" s="18">
        <v>7664</v>
      </c>
      <c r="C21" s="18">
        <v>541</v>
      </c>
      <c r="D21" s="18">
        <v>7645</v>
      </c>
      <c r="E21" s="18">
        <v>607</v>
      </c>
      <c r="F21" s="18">
        <v>7719</v>
      </c>
      <c r="G21" s="18">
        <v>568</v>
      </c>
    </row>
    <row r="22" spans="1:7" x14ac:dyDescent="0.25">
      <c r="A22" s="5" t="s">
        <v>48</v>
      </c>
      <c r="B22" s="18">
        <v>10543</v>
      </c>
      <c r="C22" s="18">
        <v>453</v>
      </c>
      <c r="D22" s="18">
        <v>10542</v>
      </c>
      <c r="E22" s="18">
        <v>465</v>
      </c>
      <c r="F22" s="18">
        <v>10565</v>
      </c>
      <c r="G22" s="18">
        <v>402</v>
      </c>
    </row>
  </sheetData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60F8-BE1C-5DF0-886A-05D66491C4C8}">
  <sheetPr>
    <pageSetUpPr fitToPage="1"/>
  </sheetPr>
  <dimension ref="A1:C22"/>
  <sheetViews>
    <sheetView showGridLines="0" workbookViewId="0">
      <selection activeCell="A1" sqref="A1"/>
    </sheetView>
  </sheetViews>
  <sheetFormatPr defaultRowHeight="15" x14ac:dyDescent="0.25"/>
  <cols>
    <col min="1" max="1" width="9.7109375" customWidth="1"/>
    <col min="2" max="2" width="32.7109375" customWidth="1"/>
    <col min="3" max="3" width="14.7109375" customWidth="1"/>
  </cols>
  <sheetData>
    <row r="1" spans="1:3" x14ac:dyDescent="0.25">
      <c r="A1" s="1" t="s">
        <v>60</v>
      </c>
    </row>
    <row r="2" spans="1:3" x14ac:dyDescent="0.25">
      <c r="A2" s="2" t="s">
        <v>61</v>
      </c>
    </row>
    <row r="4" spans="1:3" ht="42" customHeight="1" x14ac:dyDescent="0.25">
      <c r="A4" s="3" t="s">
        <v>2</v>
      </c>
      <c r="B4" s="3" t="s">
        <v>3</v>
      </c>
      <c r="C4" s="4" t="s">
        <v>62</v>
      </c>
    </row>
    <row r="5" spans="1:3" x14ac:dyDescent="0.25">
      <c r="A5" s="5" t="s">
        <v>12</v>
      </c>
      <c r="B5" s="5" t="s">
        <v>13</v>
      </c>
      <c r="C5" s="18">
        <v>99</v>
      </c>
    </row>
    <row r="6" spans="1:3" x14ac:dyDescent="0.25">
      <c r="A6" s="5" t="s">
        <v>15</v>
      </c>
      <c r="B6" s="5" t="s">
        <v>16</v>
      </c>
      <c r="C6" s="18">
        <v>126</v>
      </c>
    </row>
    <row r="7" spans="1:3" x14ac:dyDescent="0.25">
      <c r="A7" s="5" t="s">
        <v>17</v>
      </c>
      <c r="B7" s="5" t="s">
        <v>18</v>
      </c>
      <c r="C7" s="18">
        <v>141</v>
      </c>
    </row>
    <row r="8" spans="1:3" x14ac:dyDescent="0.25">
      <c r="A8" s="5" t="s">
        <v>20</v>
      </c>
      <c r="B8" s="5" t="s">
        <v>21</v>
      </c>
      <c r="C8" s="18">
        <v>159</v>
      </c>
    </row>
    <row r="9" spans="1:3" x14ac:dyDescent="0.25">
      <c r="A9" s="5" t="s">
        <v>22</v>
      </c>
      <c r="B9" s="5" t="s">
        <v>23</v>
      </c>
      <c r="C9" s="18">
        <v>189</v>
      </c>
    </row>
    <row r="10" spans="1:3" x14ac:dyDescent="0.25">
      <c r="A10" s="5" t="s">
        <v>24</v>
      </c>
      <c r="B10" s="5" t="s">
        <v>25</v>
      </c>
      <c r="C10" s="18">
        <v>201</v>
      </c>
    </row>
    <row r="11" spans="1:3" x14ac:dyDescent="0.25">
      <c r="A11" s="5" t="s">
        <v>26</v>
      </c>
      <c r="B11" s="5" t="s">
        <v>27</v>
      </c>
      <c r="C11" s="18">
        <v>255</v>
      </c>
    </row>
    <row r="12" spans="1:3" x14ac:dyDescent="0.25">
      <c r="A12" s="5" t="s">
        <v>28</v>
      </c>
      <c r="B12" s="5" t="s">
        <v>29</v>
      </c>
      <c r="C12" s="18">
        <v>303</v>
      </c>
    </row>
    <row r="13" spans="1:3" x14ac:dyDescent="0.25">
      <c r="A13" s="5" t="s">
        <v>30</v>
      </c>
      <c r="B13" s="5" t="s">
        <v>31</v>
      </c>
      <c r="C13" s="18">
        <v>345</v>
      </c>
    </row>
    <row r="14" spans="1:3" x14ac:dyDescent="0.25">
      <c r="A14" s="5" t="s">
        <v>32</v>
      </c>
      <c r="B14" s="5" t="s">
        <v>33</v>
      </c>
      <c r="C14" s="18">
        <v>411</v>
      </c>
    </row>
    <row r="15" spans="1:3" x14ac:dyDescent="0.25">
      <c r="A15" s="5" t="s">
        <v>34</v>
      </c>
      <c r="B15" s="5" t="s">
        <v>35</v>
      </c>
      <c r="C15" s="18">
        <v>465</v>
      </c>
    </row>
    <row r="16" spans="1:3" x14ac:dyDescent="0.25">
      <c r="A16" s="5" t="s">
        <v>36</v>
      </c>
      <c r="B16" s="5" t="s">
        <v>37</v>
      </c>
      <c r="C16" s="18">
        <v>555</v>
      </c>
    </row>
    <row r="17" spans="1:3" x14ac:dyDescent="0.25">
      <c r="A17" s="5" t="s">
        <v>38</v>
      </c>
      <c r="B17" s="5" t="s">
        <v>39</v>
      </c>
      <c r="C17" s="18">
        <v>633</v>
      </c>
    </row>
    <row r="18" spans="1:3" x14ac:dyDescent="0.25">
      <c r="A18" s="5" t="s">
        <v>40</v>
      </c>
      <c r="B18" s="5" t="s">
        <v>41</v>
      </c>
      <c r="C18" s="18">
        <v>840</v>
      </c>
    </row>
    <row r="19" spans="1:3" x14ac:dyDescent="0.25">
      <c r="A19" s="5" t="s">
        <v>42</v>
      </c>
      <c r="B19" s="5" t="s">
        <v>43</v>
      </c>
      <c r="C19" s="18">
        <v>1101</v>
      </c>
    </row>
    <row r="20" spans="1:3" x14ac:dyDescent="0.25">
      <c r="A20" s="5" t="s">
        <v>44</v>
      </c>
      <c r="B20" s="5" t="s">
        <v>45</v>
      </c>
      <c r="C20" s="18">
        <v>1434</v>
      </c>
    </row>
    <row r="21" spans="1:3" x14ac:dyDescent="0.25">
      <c r="A21" s="5" t="s">
        <v>46</v>
      </c>
      <c r="B21" s="5" t="s">
        <v>47</v>
      </c>
      <c r="C21" s="18">
        <v>1962</v>
      </c>
    </row>
    <row r="22" spans="1:3" x14ac:dyDescent="0.25">
      <c r="A22" s="5" t="s">
        <v>48</v>
      </c>
      <c r="B22" s="5" t="s">
        <v>49</v>
      </c>
      <c r="C22" s="18">
        <v>2642</v>
      </c>
    </row>
  </sheetData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3A05-D323-5272-8EB2-20E9748738D3}">
  <sheetPr>
    <pageSetUpPr fitToPage="1"/>
  </sheetPr>
  <dimension ref="A1:D22"/>
  <sheetViews>
    <sheetView showGridLines="0" workbookViewId="0">
      <selection activeCell="A1" sqref="A1"/>
    </sheetView>
  </sheetViews>
  <sheetFormatPr defaultRowHeight="15" x14ac:dyDescent="0.25"/>
  <cols>
    <col min="1" max="1" width="9.7109375" customWidth="1"/>
    <col min="2" max="2" width="32.7109375" customWidth="1"/>
    <col min="3" max="3" width="10.7109375" customWidth="1"/>
    <col min="4" max="4" width="16.7109375" customWidth="1"/>
  </cols>
  <sheetData>
    <row r="1" spans="1:4" x14ac:dyDescent="0.25">
      <c r="A1" s="1" t="s">
        <v>63</v>
      </c>
    </row>
    <row r="2" spans="1:4" x14ac:dyDescent="0.25">
      <c r="A2" s="2" t="s">
        <v>64</v>
      </c>
    </row>
    <row r="4" spans="1:4" ht="42" customHeight="1" x14ac:dyDescent="0.25">
      <c r="A4" s="3" t="s">
        <v>2</v>
      </c>
      <c r="B4" s="3" t="s">
        <v>3</v>
      </c>
      <c r="C4" s="4" t="s">
        <v>65</v>
      </c>
      <c r="D4" s="4" t="s">
        <v>66</v>
      </c>
    </row>
    <row r="5" spans="1:4" x14ac:dyDescent="0.25">
      <c r="A5" s="5" t="s">
        <v>12</v>
      </c>
      <c r="B5" s="5" t="s">
        <v>13</v>
      </c>
      <c r="C5" s="19">
        <v>2</v>
      </c>
      <c r="D5" s="18">
        <v>86105</v>
      </c>
    </row>
    <row r="6" spans="1:4" x14ac:dyDescent="0.25">
      <c r="A6" s="5" t="s">
        <v>15</v>
      </c>
      <c r="B6" s="5" t="s">
        <v>16</v>
      </c>
      <c r="C6" s="19">
        <v>1</v>
      </c>
      <c r="D6" s="18">
        <v>37033</v>
      </c>
    </row>
    <row r="7" spans="1:4" x14ac:dyDescent="0.25">
      <c r="A7" s="5" t="s">
        <v>17</v>
      </c>
      <c r="B7" s="5" t="s">
        <v>18</v>
      </c>
      <c r="C7" s="19">
        <v>2</v>
      </c>
      <c r="D7" s="18">
        <v>79568</v>
      </c>
    </row>
    <row r="8" spans="1:4" x14ac:dyDescent="0.25">
      <c r="A8" s="5" t="s">
        <v>20</v>
      </c>
      <c r="B8" s="5" t="s">
        <v>21</v>
      </c>
      <c r="C8" s="19">
        <v>6</v>
      </c>
      <c r="D8" s="18">
        <v>279397</v>
      </c>
    </row>
    <row r="9" spans="1:4" x14ac:dyDescent="0.25">
      <c r="A9" s="5" t="s">
        <v>22</v>
      </c>
      <c r="B9" s="5" t="s">
        <v>23</v>
      </c>
      <c r="C9" s="19">
        <v>1</v>
      </c>
      <c r="D9" s="18">
        <v>64114</v>
      </c>
    </row>
    <row r="10" spans="1:4" x14ac:dyDescent="0.25">
      <c r="A10" s="5" t="s">
        <v>24</v>
      </c>
      <c r="B10" s="5" t="s">
        <v>25</v>
      </c>
      <c r="C10" s="19">
        <v>1</v>
      </c>
      <c r="D10" s="18">
        <v>37535</v>
      </c>
    </row>
    <row r="11" spans="1:4" x14ac:dyDescent="0.25">
      <c r="A11" s="5" t="s">
        <v>26</v>
      </c>
      <c r="B11" s="5" t="s">
        <v>27</v>
      </c>
      <c r="C11" s="19">
        <v>2</v>
      </c>
      <c r="D11" s="18">
        <v>67971</v>
      </c>
    </row>
    <row r="12" spans="1:4" x14ac:dyDescent="0.25">
      <c r="A12" s="5" t="s">
        <v>28</v>
      </c>
      <c r="B12" s="5" t="s">
        <v>29</v>
      </c>
      <c r="C12" s="19">
        <v>1</v>
      </c>
      <c r="D12" s="18">
        <v>226153</v>
      </c>
    </row>
    <row r="13" spans="1:4" x14ac:dyDescent="0.25">
      <c r="A13" s="5" t="s">
        <v>30</v>
      </c>
      <c r="B13" s="5" t="s">
        <v>31</v>
      </c>
      <c r="C13" s="19">
        <v>3</v>
      </c>
      <c r="D13" s="18">
        <v>529592</v>
      </c>
    </row>
    <row r="14" spans="1:4" x14ac:dyDescent="0.25">
      <c r="A14" s="5" t="s">
        <v>32</v>
      </c>
      <c r="B14" s="5" t="s">
        <v>33</v>
      </c>
      <c r="C14" s="19">
        <v>3</v>
      </c>
      <c r="D14" s="18">
        <v>117486</v>
      </c>
    </row>
    <row r="15" spans="1:4" x14ac:dyDescent="0.25">
      <c r="A15" s="5" t="s">
        <v>34</v>
      </c>
      <c r="B15" s="5" t="s">
        <v>35</v>
      </c>
      <c r="C15" s="19">
        <v>3</v>
      </c>
      <c r="D15" s="18">
        <v>154772</v>
      </c>
    </row>
    <row r="16" spans="1:4" x14ac:dyDescent="0.25">
      <c r="A16" s="5" t="s">
        <v>36</v>
      </c>
      <c r="B16" s="5" t="s">
        <v>37</v>
      </c>
      <c r="C16" s="19">
        <v>4</v>
      </c>
      <c r="D16" s="18">
        <v>290451</v>
      </c>
    </row>
    <row r="17" spans="1:4" x14ac:dyDescent="0.25">
      <c r="A17" s="5" t="s">
        <v>38</v>
      </c>
      <c r="B17" s="5" t="s">
        <v>39</v>
      </c>
      <c r="C17" s="19">
        <v>5</v>
      </c>
      <c r="D17" s="18">
        <v>242282</v>
      </c>
    </row>
    <row r="18" spans="1:4" x14ac:dyDescent="0.25">
      <c r="A18" s="5" t="s">
        <v>40</v>
      </c>
      <c r="B18" s="5" t="s">
        <v>41</v>
      </c>
      <c r="C18" s="19">
        <v>11</v>
      </c>
      <c r="D18" s="18">
        <v>612952</v>
      </c>
    </row>
    <row r="19" spans="1:4" x14ac:dyDescent="0.25">
      <c r="A19" s="5" t="s">
        <v>42</v>
      </c>
      <c r="B19" s="5" t="s">
        <v>43</v>
      </c>
      <c r="C19" s="19">
        <v>9</v>
      </c>
      <c r="D19" s="18">
        <v>579483</v>
      </c>
    </row>
    <row r="20" spans="1:4" x14ac:dyDescent="0.25">
      <c r="A20" s="5" t="s">
        <v>44</v>
      </c>
      <c r="B20" s="5" t="s">
        <v>45</v>
      </c>
      <c r="C20" s="19">
        <v>10</v>
      </c>
      <c r="D20" s="18">
        <v>689667</v>
      </c>
    </row>
    <row r="21" spans="1:4" x14ac:dyDescent="0.25">
      <c r="A21" s="5" t="s">
        <v>46</v>
      </c>
      <c r="B21" s="5" t="s">
        <v>47</v>
      </c>
      <c r="C21" s="19">
        <v>23</v>
      </c>
      <c r="D21" s="18">
        <v>1135842</v>
      </c>
    </row>
    <row r="22" spans="1:4" x14ac:dyDescent="0.25">
      <c r="A22" s="5" t="s">
        <v>48</v>
      </c>
      <c r="B22" s="5" t="s">
        <v>49</v>
      </c>
      <c r="C22" s="19">
        <v>21</v>
      </c>
      <c r="D22" s="18">
        <v>1022799</v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Renewal review</vt:lpstr>
      <vt:lpstr>Chart data</vt:lpstr>
      <vt:lpstr>Experience by year</vt:lpstr>
      <vt:lpstr>Q3 2026 member months</vt:lpstr>
      <vt:lpstr>2026 high-cost claimants</vt:lpstr>
    </vt:vector>
  </TitlesOfParts>
  <Company>Corbel Ridge Business Health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Coleman</dc:creator>
  <cp:lastModifiedBy>Steven Coleman</cp:lastModifiedBy>
  <dcterms:created xsi:type="dcterms:W3CDTF">2026-10-08T14:10:00Z</dcterms:created>
  <dcterms:modified xsi:type="dcterms:W3CDTF">2026-10-13T20:35:00Z</dcterms:modified>
</cp:coreProperties>
</file>