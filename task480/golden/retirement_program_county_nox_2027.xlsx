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39D0F4E5-CBCE-5582-82B3-9C0C31D6C480}"/>
  </bookViews>
  <sheets>
    <sheet name="Intake counties" sheetId="1" r:id="rId1"/>
    <sheet name="Chart" sheetId="2" r:id="rId2"/>
    <sheet name="Pilot 2025" sheetId="3" r:id="rId3"/>
    <sheet name="Notes" sheetId="4"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<sst xmlns="http://schemas.openxmlformats.org/spreadsheetml/2006/main" count="65" uniqueCount="45">
  <si>
    <t>County no.</t>
  </si>
  <si>
    <t>County</t>
  </si>
  <si>
    <t>Eligible vehicles</t>
  </si>
  <si>
    <t>With a usable reading</t>
  </si>
  <si>
    <t>2027 miles (millions)</t>
  </si>
  <si>
    <t>2027 NOx (short tons)</t>
  </si>
  <si>
    <t>10-ton line</t>
  </si>
  <si>
    <t>Intake events</t>
  </si>
  <si>
    <t>79</t>
  </si>
  <si>
    <t>Wexmoor</t>
  </si>
  <si>
    <t>Yes</t>
  </si>
  <si>
    <t>29</t>
  </si>
  <si>
    <t>Halvering</t>
  </si>
  <si>
    <t>40</t>
  </si>
  <si>
    <t>Linnmere</t>
  </si>
  <si>
    <t>21</t>
  </si>
  <si>
    <t>Elkhollow</t>
  </si>
  <si>
    <t>44</t>
  </si>
  <si>
    <t>Marlbank</t>
  </si>
  <si>
    <t>17</t>
  </si>
  <si>
    <t>Dunmarsh</t>
  </si>
  <si>
    <t>No</t>
  </si>
  <si>
    <t>14</t>
  </si>
  <si>
    <t>Copperleaf</t>
  </si>
  <si>
    <t>58</t>
  </si>
  <si>
    <t>Quarrybrook</t>
  </si>
  <si>
    <t>38</t>
  </si>
  <si>
    <t>Larkhaven</t>
  </si>
  <si>
    <t>71</t>
  </si>
  <si>
    <t>Thorncastle</t>
  </si>
  <si>
    <t>35</t>
  </si>
  <si>
    <t>Kinnard</t>
  </si>
  <si>
    <t>63</t>
  </si>
  <si>
    <t>Sallowford</t>
  </si>
  <si>
    <t>Twelve counties</t>
  </si>
  <si>
    <t>5 counties</t>
  </si>
  <si>
    <t>Vouchers paid</t>
  </si>
  <si>
    <t>Vehicles retired</t>
  </si>
  <si>
    <t>Dismantler charges paid ($)</t>
  </si>
  <si>
    <t>Four counties</t>
  </si>
  <si>
    <t>Intake counties: guidelines 3.1 to 3.4. Eligible vehicles are the ACTIVE records on the 1 July 2026 registration snapshot in a member county, gasoline or flex-fuel, model years 2005 to 2014, GVWR class 1 or 2a.</t>
  </si>
  <si>
    <t>A vehicle's 2027 miles: its odometer at its completed 2024 to 2025 initial inspection, set against the cumulative miles the area's inspected vehicles had travelled by the same age (a quadratic in age fitted to every completed initial reading, age from 1 January of the model year), times that curve's rise from the vehicle's age on 1 January 2027 to its age on 1 January 2028. Vehicles without a usable reading take their county and model year's average (3.4).</t>
  </si>
  <si>
    <t>NOx: 2027 miles times the Table 2 running rate for the model year and program class, in short tons of 907,184.74 grams. Counties are compared with 10.0 tons before rounding; tons are shown to the nearest ton.</t>
  </si>
  <si>
    <t>Pilot 2025: a voucher whose vehicle is registered again (ACTIVE) at 1 July 2026 is not counted as retired. Dismantler charges are the program agreement's charge for each vehicle's tow zone; Oakhaven Salvage &amp; Parts' invoice export repeats the invoice total on every line.</t>
  </si>
  <si>
    <t>Prepared by the Mobile Sources Section, 26 October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</si>
</sst>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CE6F1"/>
        <bgColor indexed="64"/>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vertical="center" wrapText="1"/>
    </xf>
    <xf numFmtId="3" fontId="0" fillId="0" borderId="0" xfId="0" applyNumberFormat="1"/>
    <xf numFmtId="164" fontId="0" fillId="0" borderId="0" xfId="0" applyNumberFormat="1"/>
    <xf numFmtId="1" fontId="0" fillId="0" borderId="0" xfId="0" applyNumberFormat="1"/>
    <xf numFmtId="0" fontId="1" fillId="0" borderId="0" xfId="0" applyFont="1"/>
    <xf numFmtId="3" fontId="1" fillId="0" borderId="0" xfId="0" applyNumberFormat="1" applyFont="1"/>
    <xf numFmtId="164" fontId="1" fillId="0" borderId="0" xfId="0" applyNumberFormat="1" applyFont="1"/>
    <xf numFmtId="1" fontId="1" fillId="0" borderId="0" xfId="0" applyNumberFormat="1" applyFont="1"/>
    <xf numFmtId="165" fontId="0" fillId="0" borderId="0" xfId="0" applyNumberFormat="1"/>
    <xf numFmtId="165" fontId="1" fillId="0" borderId="0" xfId="0" applyNumberFormat="1" applyFon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2027 NOx of each county's eligible vehicles, short tons</a:t>
            </a:r>
          </a:p>
        </rich>
      </tx>
    </title>
    <plotArea>
      <barChart>
        <barDir val="col"/>
        <grouping val="clustered"/>
        <ser>
          <idx val="0"/>
          <order val="0"/>
          <tx>
            <strRef>
              <f>'Intake counties'!F1</f>
            </strRef>
          </tx>
          <spPr>
            <a:ln xmlns:a="http://schemas.openxmlformats.org/drawingml/2006/main">
              <a:prstDash val="solid"/>
            </a:ln>
          </spPr>
          <cat>
            <numRef>
              <f>'Intake counties'!$B$2:$B$13</f>
            </numRef>
          </cat>
          <val>
            <numRef>
              <f>'Intake counties'!$F$2:$F$13</f>
            </numRef>
          </val>
        </ser>
        <gapWidth val="150"/>
        <axId val="10"/>
        <axId val="100"/>
      </barChart>
      <lineChart>
        <grouping val="standard"/>
        <ser>
          <idx val="1"/>
          <order val="1"/>
          <tx>
            <strRef>
              <f>'Intake counties'!G1</f>
            </strRef>
          </tx>
          <spPr>
            <a:ln xmlns:a="http://schemas.openxmlformats.org/drawingml/2006/main">
              <a:prstDash val="solid"/>
            </a:ln>
          </spPr>
          <marker>
            <symbol val="none"/>
            <spPr>
              <a:ln xmlns:a="http://schemas.openxmlformats.org/drawingml/2006/main">
                <a:prstDash val="solid"/>
              </a:ln>
            </spPr>
          </marker>
          <val>
            <numRef>
              <f>'Intake counties'!$G$2:$G$13</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Short tons</a:t>
                </a:r>
              </a:p>
            </rich>
          </tx>
        </title>
        <majorTickMark val="none"/>
        <minorTickMark val="none"/>
        <crossAx val="10"/>
      </valAx>
    </plotArea>
    <legend>
      <legendPos val="r"/>
    </legend>
    <plotVisOnly val="1"/>
    <dispBlanksAs val="gap"/>
  </chart>
</chartSpace>
</file>

<file path=xl/drawings/_rels/drawing1.xml.rels><?xml version="1.0" encoding="UTF-8" standalone="yes"?>
<Relationships xmlns="http://schemas.openxmlformats.org/package/2006/relationships"><Relationship Type="http://schemas.openxmlformats.org/officeDocument/2006/relationships/chart" Target="../charts/chart1.xml" Id="rId1"/></Relationships>
</file>

<file path=xl/drawings/drawing1.xml><?xml version="1.0" encoding="utf-8"?>
<wsDr xmlns="http://schemas.openxmlformats.org/drawingml/2006/spreadsheetDrawing">
  <oneCellAnchor>
    <from>
      <col>0</col>
      <colOff>0</colOff>
      <row>0</row>
      <rowOff>0</rowOff>
    </from>
    <ext cx="612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Type="http://schemas.openxmlformats.org/officeDocument/2006/relationships/drawing" Target="../drawings/drawing1.xml"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9E0FD-A6E5-5BEF-B772-F1EE326EE0FF}">
  <dimension ref="A1:H14"/>
  <sheetViews>
    <sheetView tabSelected="1" workbookViewId="0">
      <pane xSplit="2" ySplit="1" topLeftCell="C2" activePane="bottomRight" state="frozen"/>
      <selection pane="topRight" activeCell="C1" sqref="C1"/>
      <selection pane="bottomLeft" activeCell="A2" sqref="A2"/>
      <selection pane="bottomRight" activeCell="C2" sqref="C2"/>
    </sheetView>
  </sheetViews>
  <sheetFormatPr defaultRowHeight="15" x14ac:dyDescent="0.25"/>
  <cols>
    <col min="1" max="1" width="10.7109375" customWidth="1"/>
    <col min="2" max="2" width="15.7109375" customWidth="1"/>
    <col min="3" max="3" width="11.7109375" customWidth="1"/>
    <col min="4" max="4" width="12.7109375" customWidth="1"/>
    <col min="5" max="5" width="12.7109375" customWidth="1"/>
    <col min="6" max="6" width="12.7109375" customWidth="1"/>
    <col min="7" max="7" width="9.7109375" customWidth="1"/>
    <col min="8" max="8" width="13.7109375" customWidth="1"/>
  </cols>
  <sheetData>
    <row r="1" spans="1:8" x14ac:dyDescent="0.25">
      <c r="A1" s="1" t="s">
        <v>0</v>
      </c>
      <c r="B1" s="1" t="s">
        <v>1</v>
      </c>
      <c r="C1" s="1" t="s">
        <v>2</v>
      </c>
      <c r="D1" s="1" t="s">
        <v>3</v>
      </c>
      <c r="E1" s="1" t="s">
        <v>4</v>
      </c>
      <c r="F1" s="1" t="s">
        <v>5</v>
      </c>
      <c r="G1" s="1" t="s">
        <v>6</v>
      </c>
      <c r="H1" s="1" t="s">
        <v>7</v>
      </c>
    </row>
    <row r="2" spans="1:8" x14ac:dyDescent="0.25">
      <c r="A2" t="s">
        <v>8</v>
      </c>
      <c r="B2" t="s">
        <v>9</v>
      </c>
      <c r="C2" s="2">
        <v>11068</v>
      </c>
      <c r="D2" s="2">
        <v>10479</v>
      </c>
      <c r="E2" s="3">
        <v>83.90000000000001</v>
      </c>
      <c r="F2" s="4">
        <v>15</v>
      </c>
      <c r="G2" s="3">
        <v>10</v>
      </c>
      <c r="H2" t="s">
        <v>10</v>
      </c>
    </row>
    <row r="3" spans="1:8" x14ac:dyDescent="0.25">
      <c r="A3" t="s">
        <v>11</v>
      </c>
      <c r="B3" t="s">
        <v>12</v>
      </c>
      <c r="C3" s="2">
        <v>8688</v>
      </c>
      <c r="D3" s="2">
        <v>8230</v>
      </c>
      <c r="E3" s="3">
        <v>76.7</v>
      </c>
      <c r="F3" s="4">
        <v>14</v>
      </c>
      <c r="G3" s="3">
        <v>10</v>
      </c>
      <c r="H3" t="s">
        <v>10</v>
      </c>
    </row>
    <row r="4" spans="1:8" x14ac:dyDescent="0.25">
      <c r="A4" t="s">
        <v>13</v>
      </c>
      <c r="B4" t="s">
        <v>14</v>
      </c>
      <c r="C4" s="2">
        <v>7060</v>
      </c>
      <c r="D4" s="2">
        <v>6667</v>
      </c>
      <c r="E4" s="3">
        <v>71</v>
      </c>
      <c r="F4" s="4">
        <v>13</v>
      </c>
      <c r="G4" s="3">
        <v>10</v>
      </c>
      <c r="H4" t="s">
        <v>10</v>
      </c>
    </row>
    <row r="5" spans="1:8" x14ac:dyDescent="0.25">
      <c r="A5" t="s">
        <v>15</v>
      </c>
      <c r="B5" t="s">
        <v>16</v>
      </c>
      <c r="C5" s="2">
        <v>5182</v>
      </c>
      <c r="D5" s="2">
        <v>4911</v>
      </c>
      <c r="E5" s="3">
        <v>64</v>
      </c>
      <c r="F5" s="4">
        <v>12</v>
      </c>
      <c r="G5" s="3">
        <v>10</v>
      </c>
      <c r="H5" t="s">
        <v>10</v>
      </c>
    </row>
    <row r="6" spans="1:8" x14ac:dyDescent="0.25">
      <c r="A6" t="s">
        <v>17</v>
      </c>
      <c r="B6" t="s">
        <v>18</v>
      </c>
      <c r="C6" s="2">
        <v>5255</v>
      </c>
      <c r="D6" s="2">
        <v>4973</v>
      </c>
      <c r="E6" s="3">
        <v>57.9</v>
      </c>
      <c r="F6" s="4">
        <v>11</v>
      </c>
      <c r="G6" s="3">
        <v>10</v>
      </c>
      <c r="H6" t="s">
        <v>10</v>
      </c>
    </row>
    <row r="7" spans="1:8" x14ac:dyDescent="0.25">
      <c r="A7" t="s">
        <v>19</v>
      </c>
      <c r="B7" t="s">
        <v>20</v>
      </c>
      <c r="C7" s="2">
        <v>6149</v>
      </c>
      <c r="D7" s="2">
        <v>5812</v>
      </c>
      <c r="E7" s="3">
        <v>47.9</v>
      </c>
      <c r="F7" s="4">
        <v>9</v>
      </c>
      <c r="G7" s="3">
        <v>10</v>
      </c>
      <c r="H7" t="s">
        <v>21</v>
      </c>
    </row>
    <row r="8" spans="1:8" x14ac:dyDescent="0.25">
      <c r="A8" t="s">
        <v>22</v>
      </c>
      <c r="B8" t="s">
        <v>23</v>
      </c>
      <c r="C8" s="2">
        <v>3135</v>
      </c>
      <c r="D8" s="2">
        <v>2982</v>
      </c>
      <c r="E8" s="3">
        <v>42.4</v>
      </c>
      <c r="F8" s="4">
        <v>8</v>
      </c>
      <c r="G8" s="3">
        <v>10</v>
      </c>
      <c r="H8" t="s">
        <v>21</v>
      </c>
    </row>
    <row r="9" spans="1:8" x14ac:dyDescent="0.25">
      <c r="A9" t="s">
        <v>24</v>
      </c>
      <c r="B9" t="s">
        <v>25</v>
      </c>
      <c r="C9" s="2">
        <v>4221</v>
      </c>
      <c r="D9" s="2">
        <v>4016</v>
      </c>
      <c r="E9" s="3">
        <v>44.1</v>
      </c>
      <c r="F9" s="4">
        <v>8</v>
      </c>
      <c r="G9" s="3">
        <v>10</v>
      </c>
      <c r="H9" t="s">
        <v>21</v>
      </c>
    </row>
    <row r="10" spans="1:8" x14ac:dyDescent="0.25">
      <c r="A10" t="s">
        <v>26</v>
      </c>
      <c r="B10" t="s">
        <v>27</v>
      </c>
      <c r="C10" s="2">
        <v>5047</v>
      </c>
      <c r="D10" s="2">
        <v>4791</v>
      </c>
      <c r="E10" s="3">
        <v>42.1</v>
      </c>
      <c r="F10" s="4">
        <v>8</v>
      </c>
      <c r="G10" s="3">
        <v>10</v>
      </c>
      <c r="H10" t="s">
        <v>21</v>
      </c>
    </row>
    <row r="11" spans="1:8" x14ac:dyDescent="0.25">
      <c r="A11" t="s">
        <v>28</v>
      </c>
      <c r="B11" t="s">
        <v>29</v>
      </c>
      <c r="C11" s="2">
        <v>4119</v>
      </c>
      <c r="D11" s="2">
        <v>3889</v>
      </c>
      <c r="E11" s="3">
        <v>31.1</v>
      </c>
      <c r="F11" s="4">
        <v>6</v>
      </c>
      <c r="G11" s="3">
        <v>10</v>
      </c>
      <c r="H11" t="s">
        <v>21</v>
      </c>
    </row>
    <row r="12" spans="1:8" x14ac:dyDescent="0.25">
      <c r="A12" t="s">
        <v>30</v>
      </c>
      <c r="B12" t="s">
        <v>31</v>
      </c>
      <c r="C12" s="2">
        <v>2814</v>
      </c>
      <c r="D12" s="2">
        <v>2681</v>
      </c>
      <c r="E12" s="3">
        <v>25.7</v>
      </c>
      <c r="F12" s="4">
        <v>5</v>
      </c>
      <c r="G12" s="3">
        <v>10</v>
      </c>
      <c r="H12" t="s">
        <v>21</v>
      </c>
    </row>
    <row r="13" spans="1:8" x14ac:dyDescent="0.25">
      <c r="A13" t="s">
        <v>32</v>
      </c>
      <c r="B13" t="s">
        <v>33</v>
      </c>
      <c r="C13" s="2">
        <v>2567</v>
      </c>
      <c r="D13" s="2">
        <v>2434</v>
      </c>
      <c r="E13" s="3">
        <v>27.1</v>
      </c>
      <c r="F13" s="4">
        <v>5</v>
      </c>
      <c r="G13" s="3">
        <v>10</v>
      </c>
      <c r="H13" t="s">
        <v>21</v>
      </c>
    </row>
    <row r="14" spans="1:8" x14ac:dyDescent="0.25">
      <c r="A14" s="5"/>
      <c r="B14" s="5" t="s">
        <v>34</v>
      </c>
      <c r="C14" s="6">
        <v>65305</v>
      </c>
      <c r="D14" s="6">
        <v>61865</v>
      </c>
      <c r="E14" s="7">
        <v>614</v>
      </c>
      <c r="F14" s="8">
        <v>113</v>
      </c>
      <c r="G14" s="7"/>
      <c r="H14" s="5" t="s">
        <v>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DC5C0-090E-577F-92FA-015C72BE6F74}">
  <dimension ref="A1:A1"/>
  <sheetViews>
    <sheetView workbookViewId="0">
      <selection activeCell="A1" sqref="A1"/>
    </sheetView>
  </sheetViews>
  <sheetFormatPr defaultRowHeight="15" x14ac:dyDescent="0.25"/>
  <sheetData/>
  <pageMargins left="0.7" right="0.7" top="0.75" bottom="0.75" header="0.3" footer="0.3"/>
  <drawing xmlns:r="http://schemas.openxmlformats.org/officeDocument/2006/relationships"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F8ED4-976C-5014-A51C-5763A3C32439}">
  <dimension ref="A1:E6"/>
  <sheetViews>
    <sheetView workbookViewId="0">
      <selection activeCell="A1" sqref="A1"/>
    </sheetView>
  </sheetViews>
  <sheetFormatPr defaultRowHeight="15" x14ac:dyDescent="0.25"/>
  <cols>
    <col min="1" max="1" width="10.7109375" customWidth="1"/>
    <col min="2" max="2" width="15.7109375" customWidth="1"/>
    <col min="3" max="3" width="11.7109375" customWidth="1"/>
    <col min="4" max="4" width="11.7109375" customWidth="1"/>
    <col min="5" max="5" width="16.7109375" customWidth="1"/>
  </cols>
  <sheetData>
    <row r="1" spans="1:5" x14ac:dyDescent="0.25">
      <c r="A1" s="1" t="s">
        <v>0</v>
      </c>
      <c r="B1" s="1" t="s">
        <v>1</v>
      </c>
      <c r="C1" s="1" t="s">
        <v>36</v>
      </c>
      <c r="D1" s="1" t="s">
        <v>37</v>
      </c>
      <c r="E1" s="1" t="s">
        <v>38</v>
      </c>
    </row>
    <row r="2" spans="1:5" x14ac:dyDescent="0.25">
      <c r="A2" t="s">
        <v>15</v>
      </c>
      <c r="B2" t="s">
        <v>16</v>
      </c>
      <c r="C2" s="2">
        <v>238</v>
      </c>
      <c r="D2" s="2">
        <v>222</v>
      </c>
      <c r="E2" s="9">
        <v>59050</v>
      </c>
    </row>
    <row r="3" spans="1:5" x14ac:dyDescent="0.25">
      <c r="A3" t="s">
        <v>19</v>
      </c>
      <c r="B3" t="s">
        <v>20</v>
      </c>
      <c r="C3" s="2">
        <v>214</v>
      </c>
      <c r="D3" s="2">
        <v>201</v>
      </c>
      <c r="E3" s="9">
        <v>53985</v>
      </c>
    </row>
    <row r="4" spans="1:5" x14ac:dyDescent="0.25">
      <c r="A4" t="s">
        <v>26</v>
      </c>
      <c r="B4" t="s">
        <v>27</v>
      </c>
      <c r="C4" s="2">
        <v>171</v>
      </c>
      <c r="D4" s="2">
        <v>154</v>
      </c>
      <c r="E4" s="9">
        <v>42590</v>
      </c>
    </row>
    <row r="5" spans="1:5" x14ac:dyDescent="0.25">
      <c r="A5" t="s">
        <v>30</v>
      </c>
      <c r="B5" t="s">
        <v>31</v>
      </c>
      <c r="C5" s="2">
        <v>118</v>
      </c>
      <c r="D5" s="2">
        <v>102</v>
      </c>
      <c r="E5" s="9">
        <v>26625</v>
      </c>
    </row>
    <row r="6" spans="1:5" x14ac:dyDescent="0.25">
      <c r="A6" s="5"/>
      <c r="B6" s="5" t="s">
        <v>39</v>
      </c>
      <c r="C6" s="6">
        <v>741</v>
      </c>
      <c r="D6" s="6">
        <v>679</v>
      </c>
      <c r="E6" s="10">
        <v>182250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A8FDA-E621-5481-9A88-CA1C7BB22A5F}">
  <dimension ref="A1:A5"/>
  <sheetViews>
    <sheetView workbookViewId="0">
      <selection activeCell="A1" sqref="A1"/>
    </sheetView>
  </sheetViews>
  <sheetFormatPr defaultRowHeight="15" x14ac:dyDescent="0.25"/>
  <cols>
    <col min="1" max="1" width="120.7109375" customWidth="1"/>
  </cols>
  <sheetData>
    <row r="1" spans="1:1" x14ac:dyDescent="0.25">
      <c r="A1" s="11" t="s">
        <v>40</v>
      </c>
    </row>
    <row r="2" spans="1:1" x14ac:dyDescent="0.25">
      <c r="A2" s="11" t="s">
        <v>41</v>
      </c>
    </row>
    <row r="3" spans="1:1" x14ac:dyDescent="0.25">
      <c r="A3" s="11" t="s">
        <v>42</v>
      </c>
    </row>
    <row r="4" spans="1:1" x14ac:dyDescent="0.25">
      <c r="A4" s="11" t="s">
        <v>43</v>
      </c>
    </row>
    <row r="5" spans="1:1" x14ac:dyDescent="0.25">
      <c r="A5" s="11"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Intake counties</vt:lpstr>
      <vt:lpstr>Chart</vt:lpstr>
      <vt:lpstr>Pilot 2025</vt:lpstr>
      <vt:lpstr>Notes</vt:lpstr>
    </vt:vector>
  </TitlesOfParts>
  <Company>State Department of Environmental Quality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Bridget Palmer</dc:creator>
  <cp:lastModifiedBy>Bridget Palmer</cp:lastModifiedBy>
  <dcterms:created xsi:type="dcterms:W3CDTF">2026-10-22T18:05:00Z</dcterms:created>
  <dcterms:modified xsi:type="dcterms:W3CDTF">2026-10-26T15:58:00Z</dcterms:modified>
</cp:coreProperties>
</file>