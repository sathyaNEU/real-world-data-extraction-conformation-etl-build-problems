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xr:revisionPtr revIDLastSave="0" documentId="13_ncr:1_{DD8EB401-6409-4738-827D-1B8F1C7C8F3C}" xr6:coauthVersionLast="47" xr6:coauthVersionMax="47" xr10:uidLastSave="{00000000-0000-0000-0000-000000000000}"/>
  <bookViews>
    <workbookView xWindow="-110" yWindow="-110" windowWidth="25820" windowHeight="15500" xr2:uid="{66144F3E-B6D2-455C-8F53-58F246A5DA60}"/>
  </bookViews>
  <sheets>
    <sheet name="2027 growth share" sheetId="1" r:id="rId1"/>
    <sheet name="Notes" sheetId="2" r:id="rId2"/>
  </sheets>
  <calcPr calcId="191029"/>
</workbook>
</file>

<file path=xl/calcChain.xml><?xml version="1.0" encoding="utf-8"?>
<calcChain xmlns="http://schemas.openxmlformats.org/spreadsheetml/2006/main">
  <c r="C7" i="1"/>
  <c r="F10" i="1"/>
  <c r="F11" i="1"/>
  <c r="F12" i="1"/>
  <c r="F13" i="1"/>
  <c r="F14" i="1"/>
  <c r="F15" i="1"/>
  <c r="F16" i="1"/>
  <c r="F17" i="1"/>
  <c r="F18" i="1"/>
</calcChain>
</file>

<file path=xl/sharedStrings.xml><?xml version="1.0" encoding="utf-8"?>
<sst xmlns="http://schemas.openxmlformats.org/spreadsheetml/2006/main" count="30" uniqueCount="23">
  <si>
    <t>The Wrexford Trust: growth share and budget lines for 2027</t>
  </si>
  <si>
    <t>Annual investment review for the trustees' meeting on 10 December 2026. Valuation of 30 November 2026.</t>
  </si>
  <si>
    <t>Largest growth share inside the 10% volatility cap</t>
  </si>
  <si>
    <t>2027 grant payments (GBP)</t>
  </si>
  <si>
    <t>2027 running costs (GBP)</t>
  </si>
  <si>
    <t>Grant payments and running costs (GBP)</t>
  </si>
  <si>
    <t>Growth share</t>
  </si>
  <si>
    <t>Expected volatility, daily returns with one-day lead and lag (%)</t>
  </si>
  <si>
    <t>Expected volatility, weekly returns, Friday to Friday (%)</t>
  </si>
  <si>
    <t>Inside the cap</t>
  </si>
  <si>
    <t>2027 investment income (GBP)</t>
  </si>
  <si>
    <t>Capital release (GBP)</t>
  </si>
  <si>
    <t>Yes</t>
  </si>
  <si>
    <t>No</t>
  </si>
  <si>
    <t>Volatility before rounding is compared with the cap (investment policy 4.4). Pounds to the nearest thousand; notes on the Notes sheet.</t>
  </si>
  <si>
    <t>Notes</t>
  </si>
  <si>
    <t>1. Expected volatility is the standard deviation of the portfolio's twelve-month total return (investment policy 4.1 to 4.4), estimated from the six holdings' total returns over the two years to the 30 November 2026 valuation, combined at each growth share's policy weights.</t>
  </si>
  <si>
    <t>2. The Kestwick funds are dealt at their 12 noon valuation point from each market's latest prices, so the North American fund's price on a day carries the previous evening's New York close; the Fernside shares are priced at the London close. The mandate's daily return correlates 0.20 with the North American fund's on the same day and 0.49 with the fund's next-day return, so co-movement is measured where the prices line up: the daily covariances with the one-day lead and lag added, and weekly returns.</t>
  </si>
  <si>
    <t>3. At 70 per cent growth both estimates are over the cap (11.0 and 10.3 per cent). The daily covariance on its own, scaled by the square root of 252, gives 9.4 per cent at 70 per cent, because it misses the co-movement that lands a day apart.</t>
  </si>
  <si>
    <t>4. Investment income (finance procedure 7.2 and 7.3): the mandate's dividends with ex-dividend dates from 1 December 2025 to 30 November 2026, one amount per designation, security and event (the custodian's income report repeats each holding's entitlement on every tax lot line), over the mandate's market value at 30 November with its cash and without accrued income; each Kestwick fund's distributions per income unit over the same twelve months, over its 30 November price. Each yield is applied to the share the step's policy weights give the holding of the portfolio's market value, GBP 32,908,401.</t>
  </si>
  <si>
    <t>5. Grant payments (procedure 7.4 and 7.5): the open instalments of grants awarded by the budget date, leaving out grants the register shows as withdrawn. Core grants and first instalments are paid on their due date; later project instalments are paid once the progress report is accepted, 35 to 70 days after the due date in every payment since January 2023, so those due from late November are paid in the following year. Euro grants at 1.1460 euro to the pound.</t>
  </si>
  <si>
    <t>6. Running costs (procedure 7.6): the draft budget's running costs total, GBP 328,949. The Fernside and Brackenfold fees are charged to capital (investment policy 5.1) and are not included.</t>
  </si>
  <si>
    <t>7. Capital release: grant payments plus running costs less investment income, the release from the expendable endowment under investment policy 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</si>
</sst>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3"/>
      <color theme="1"/>
      <name val="Calibri"/>
      <family val="2"/>
      <scheme val="minor"/>
    </font>
    <font>
      <b/>
      <sz val="11"/>
      <color theme="1"/>
      <name val="Calibri"/>
      <family val="2"/>
      <scheme val="minor"/>
    </font>
    <font>
      <b/>
      <sz val="12"/>
      <color theme="1"/>
      <name val="Calibri"/>
      <family val="2"/>
      <scheme val="minor"/>
    </font>
    <font>
      <i/>
      <sz val="11"/>
      <color rgb="FF595959"/>
      <name val="Calibri"/>
      <family val="2"/>
      <scheme val="minor"/>
    </font>
  </fonts>
  <fills count="3">
    <fill>
      <patternFill patternType="none"/>
    </fill>
    <fill>
      <patternFill patternType="gray125"/>
    </fill>
    <fill>
      <patternFill patternType="solid">
        <fgColor rgb="FFDCE6F1"/>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9" fontId="3" fillId="0" borderId="0" xfId="0" applyNumberFormat="1" applyFont="1"/>
    <xf numFmtId="3" fontId="0" fillId="0" borderId="0" xfId="0" applyNumberFormat="1"/>
    <xf numFmtId="0" fontId="2" fillId="2" borderId="0" xfId="0" applyFont="1" applyFill="1" applyAlignment="1">
      <alignment vertical="top" wrapText="1"/>
    </xf>
    <xf numFmtId="9" fontId="0" fillId="0" borderId="0" xfId="0" applyNumberFormat="1"/>
    <xf numFmtId="164" fontId="0" fillId="0" borderId="0" xfId="0" applyNumberFormat="1"/>
    <xf numFmtId="0" fontId="0" fillId="0" borderId="0" xfId="0" applyAlignment="1">
      <alignment horizontal="center"/>
    </xf>
    <xf numFmtId="9" fontId="2" fillId="0" borderId="0" xfId="0" applyNumberFormat="1" applyFont="1"/>
    <xf numFmtId="164" fontId="2" fillId="0" borderId="0" xfId="0" applyNumberFormat="1" applyFont="1"/>
    <xf numFmtId="0" fontId="2" fillId="0" borderId="0" xfId="0" applyFont="1" applyAlignment="1">
      <alignment horizontal="center"/>
    </xf>
    <xf numFmtId="3" fontId="2" fillId="0" borderId="0" xfId="0" applyNumberFormat="1" applyFont="1"/>
    <xf numFmtId="0" fontId="4"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801BF-63CE-4169-8490-C9E561615660}">
  <dimension ref="A1:F20"/>
  <sheetViews>
    <sheetView tabSelected="1" workbookViewId="0">
      <pane ySplit="9" topLeftCell="A10" activePane="bottomLeft" state="frozen"/>
      <selection pane="bottomLeft" activeCell="A10" sqref="A10"/>
    </sheetView>
  </sheetViews>
  <sheetFormatPr defaultRowHeight="15" x14ac:dyDescent="0.25"/>
  <cols>
    <col min="1" max="1" width="46.7109375" customWidth="1"/>
    <col min="2" max="2" width="17.7109375" customWidth="1"/>
    <col min="3" max="3" width="17.7109375" customWidth="1"/>
    <col min="4" max="4" width="9.7109375" customWidth="1"/>
    <col min="5" max="5" width="17.7109375" customWidth="1"/>
    <col min="6" max="6" width="15.7109375" customWidth="1"/>
  </cols>
  <sheetData>
    <row r="1" spans="1:6" x14ac:dyDescent="0.25">
      <c r="A1" s="1" t="s">
        <v>0</v>
      </c>
    </row>
    <row r="2" spans="1:6" x14ac:dyDescent="0.25">
      <c r="A2" t="s">
        <v>1</v>
      </c>
    </row>
    <row r="4" spans="1:6" x14ac:dyDescent="0.25">
      <c r="A4" s="2" t="s">
        <v>2</v>
      </c>
      <c r="C4" s="3">
        <v>0.6</v>
      </c>
    </row>
    <row r="5" spans="1:6" x14ac:dyDescent="0.25">
      <c r="A5" t="s">
        <v>3</v>
      </c>
      <c r="C5" s="4">
        <v>1260000</v>
      </c>
    </row>
    <row r="6" spans="1:6" x14ac:dyDescent="0.25">
      <c r="A6" t="s">
        <v>4</v>
      </c>
      <c r="C6" s="4">
        <v>329000</v>
      </c>
    </row>
    <row r="7" spans="1:6" x14ac:dyDescent="0.25">
      <c r="A7" t="s">
        <v>5</v>
      </c>
      <c r="C7" s="4">
        <f>C5+C6</f>
        <v>1589000</v>
      </c>
    </row>
    <row r="9" spans="1:6" ht="62" customHeight="1" x14ac:dyDescent="0.25">
      <c r="A9" s="5" t="s">
        <v>6</v>
      </c>
      <c r="B9" s="5" t="s">
        <v>7</v>
      </c>
      <c r="C9" s="5" t="s">
        <v>8</v>
      </c>
      <c r="D9" s="5" t="s">
        <v>9</v>
      </c>
      <c r="E9" s="5" t="s">
        <v>10</v>
      </c>
      <c r="F9" s="5" t="s">
        <v>11</v>
      </c>
    </row>
    <row r="10" spans="1:6" x14ac:dyDescent="0.25">
      <c r="A10" s="6">
        <v>0.2</v>
      </c>
      <c r="B10" s="7">
        <v>5.2</v>
      </c>
      <c r="C10" s="7">
        <v>4.9</v>
      </c>
      <c r="D10" s="8" t="s">
        <v>12</v>
      </c>
      <c r="E10" s="4">
        <v>1442000</v>
      </c>
      <c r="F10" s="4">
        <f>$C$7-E10</f>
        <v>147000</v>
      </c>
    </row>
    <row r="11" spans="1:6" x14ac:dyDescent="0.25">
      <c r="A11" s="6">
        <v>0.3</v>
      </c>
      <c r="B11" s="7">
        <v>6</v>
      </c>
      <c r="C11" s="7">
        <v>5.6</v>
      </c>
      <c r="D11" s="8" t="s">
        <v>12</v>
      </c>
      <c r="E11" s="4">
        <v>1368000</v>
      </c>
      <c r="F11" s="4">
        <f>$C$7-E11</f>
        <v>221000</v>
      </c>
    </row>
    <row r="12" spans="1:6" x14ac:dyDescent="0.25">
      <c r="A12" s="6">
        <v>0.4</v>
      </c>
      <c r="B12" s="7">
        <v>7</v>
      </c>
      <c r="C12" s="7">
        <v>6.5</v>
      </c>
      <c r="D12" s="8" t="s">
        <v>12</v>
      </c>
      <c r="E12" s="4">
        <v>1295000</v>
      </c>
      <c r="F12" s="4">
        <f>$C$7-E12</f>
        <v>294000</v>
      </c>
    </row>
    <row r="13" spans="1:6" x14ac:dyDescent="0.25">
      <c r="A13" s="6">
        <v>0.5</v>
      </c>
      <c r="B13" s="7">
        <v>8.3</v>
      </c>
      <c r="C13" s="7">
        <v>7.7</v>
      </c>
      <c r="D13" s="8" t="s">
        <v>12</v>
      </c>
      <c r="E13" s="4">
        <v>1221000</v>
      </c>
      <c r="F13" s="4">
        <f>$C$7-E13</f>
        <v>368000</v>
      </c>
    </row>
    <row r="14" spans="1:6" x14ac:dyDescent="0.25">
      <c r="A14" s="9">
        <v>0.6</v>
      </c>
      <c r="B14" s="10">
        <v>9.6</v>
      </c>
      <c r="C14" s="10">
        <v>9</v>
      </c>
      <c r="D14" s="11" t="s">
        <v>12</v>
      </c>
      <c r="E14" s="12">
        <v>1148000</v>
      </c>
      <c r="F14" s="12">
        <f>$C$7-E14</f>
        <v>441000</v>
      </c>
    </row>
    <row r="15" spans="1:6" x14ac:dyDescent="0.25">
      <c r="A15" s="6">
        <v>0.7</v>
      </c>
      <c r="B15" s="7">
        <v>11</v>
      </c>
      <c r="C15" s="7">
        <v>10.3</v>
      </c>
      <c r="D15" s="8" t="s">
        <v>13</v>
      </c>
      <c r="E15" s="4">
        <v>1074000</v>
      </c>
      <c r="F15" s="4">
        <f>$C$7-E15</f>
        <v>515000</v>
      </c>
    </row>
    <row r="16" spans="1:6" x14ac:dyDescent="0.25">
      <c r="A16" s="6">
        <v>0.8</v>
      </c>
      <c r="B16" s="7">
        <v>12.4</v>
      </c>
      <c r="C16" s="7">
        <v>11.8</v>
      </c>
      <c r="D16" s="8" t="s">
        <v>13</v>
      </c>
      <c r="E16" s="4">
        <v>1001000</v>
      </c>
      <c r="F16" s="4">
        <f>$C$7-E16</f>
        <v>588000</v>
      </c>
    </row>
    <row r="17" spans="1:6" x14ac:dyDescent="0.25">
      <c r="A17" s="6">
        <v>0.9</v>
      </c>
      <c r="B17" s="7">
        <v>13.9</v>
      </c>
      <c r="C17" s="7">
        <v>13.2</v>
      </c>
      <c r="D17" s="8" t="s">
        <v>13</v>
      </c>
      <c r="E17" s="4">
        <v>927000</v>
      </c>
      <c r="F17" s="4">
        <f>$C$7-E17</f>
        <v>662000</v>
      </c>
    </row>
    <row r="18" spans="1:6" x14ac:dyDescent="0.25">
      <c r="A18" s="6">
        <v>1</v>
      </c>
      <c r="B18" s="7">
        <v>15.4</v>
      </c>
      <c r="C18" s="7">
        <v>14.7</v>
      </c>
      <c r="D18" s="8" t="s">
        <v>13</v>
      </c>
      <c r="E18" s="4">
        <v>854000</v>
      </c>
      <c r="F18" s="4">
        <f>$C$7-E18</f>
        <v>735000</v>
      </c>
    </row>
    <row r="20" spans="1:6" x14ac:dyDescent="0.25">
      <c r="A20" s="13" t="s">
        <v>14</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CA615-3CA0-4AE6-80B3-90B24C37205F}">
  <dimension ref="A1:A8"/>
  <sheetViews>
    <sheetView workbookViewId="0">
      <selection activeCell="A1" sqref="A1"/>
    </sheetView>
  </sheetViews>
  <sheetFormatPr defaultRowHeight="15" x14ac:dyDescent="0.25"/>
  <cols>
    <col min="1" max="1" width="130.7109375" customWidth="1"/>
  </cols>
  <sheetData>
    <row r="1" spans="1:1" x14ac:dyDescent="0.25">
      <c r="A1" s="2" t="s">
        <v>15</v>
      </c>
    </row>
    <row r="2" spans="1:1" ht="45" customHeight="1" x14ac:dyDescent="0.25">
      <c r="A2" s="14" t="s">
        <v>16</v>
      </c>
    </row>
    <row r="3" spans="1:1" ht="75" customHeight="1" x14ac:dyDescent="0.25">
      <c r="A3" s="14" t="s">
        <v>17</v>
      </c>
    </row>
    <row r="4" spans="1:1" ht="30" customHeight="1" x14ac:dyDescent="0.25">
      <c r="A4" s="14" t="s">
        <v>18</v>
      </c>
    </row>
    <row r="5" spans="1:1" ht="90" customHeight="1" x14ac:dyDescent="0.25">
      <c r="A5" s="14" t="s">
        <v>19</v>
      </c>
    </row>
    <row r="6" spans="1:1" ht="60" customHeight="1" x14ac:dyDescent="0.25">
      <c r="A6" s="14" t="s">
        <v>20</v>
      </c>
    </row>
    <row r="7" spans="1:1" ht="30" customHeight="1" x14ac:dyDescent="0.25">
      <c r="A7" s="14" t="s">
        <v>21</v>
      </c>
    </row>
    <row r="8" spans="1:1" ht="30" customHeight="1" x14ac:dyDescent="0.25">
      <c r="A8" s="14" t="s">
        <v>22</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2027 growth share</vt:lpstr>
      <vt:lpstr>Notes</vt:lpstr>
    </vt:vector>
  </TitlesOfParts>
  <Company>The Wrexford Trust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Harriet Clarke</dc:creator>
  <cp:lastModifiedBy>Harriet Clarke</cp:lastModifiedBy>
  <dcterms:created xsi:type="dcterms:W3CDTF">2026-12-03T09:12:00Z</dcterms:created>
  <dcterms:modified xsi:type="dcterms:W3CDTF">2026-12-04T16:48:00Z</dcterms:modified>
</cp:coreProperties>
</file>