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8E3A3564-B861-5A42-87CA-81F041118A6B}"/>
  </bookViews>
  <sheets>
    <sheet name="Allocation" sheetId="1" r:id="rId1"/>
    <sheet name="Program year 2025" sheetId="2" r:id="rId2"/>
    <sheet name="Notes" sheetId="3" r:id="rId3"/>
  </sheets>
  <definedNames>
    <definedName name="_xlnm.Print_Area" localSheetId="0">'Allocation'!$A$1:$F$49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<sst xmlns="http://schemas.openxmlformats.org/spreadsheetml/2006/main" count="99" uniqueCount="73">
  <si>
    <t>No county reaches the 12 per cent cap: Tallis County's 11.46 per cent of the families claiming the credit is the largest share, $2,292,000 of the $20,000,000 fund</t>
  </si>
  <si>
    <t>To</t>
  </si>
  <si>
    <t>Council Board, Corran Valley Council of Governments</t>
  </si>
  <si>
    <t>From</t>
  </si>
  <si>
    <t>Brianna Wallace, Director of Community Energy Programs</t>
  </si>
  <si>
    <t>Prepared by</t>
  </si>
  <si>
    <t>Mitchell Gonzalez, program analyst</t>
  </si>
  <si>
    <t>Date</t>
  </si>
  <si>
    <t>19 October 2026, for the 2027 weatherization plan due 15 November 2026</t>
  </si>
  <si>
    <t>Subject</t>
  </si>
  <si>
    <t>2027 weatherization fund: county allocation under the allocation policy, Revision 4</t>
  </si>
  <si>
    <t>County</t>
  </si>
  <si>
    <t>FIPS</t>
  </si>
  <si>
    <t>Agency</t>
  </si>
  <si>
    <t>TY2023 credit returns with qualifying children</t>
  </si>
  <si>
    <t>Share of the fourteen counties (%)</t>
  </si>
  <si>
    <t>2027 allocation ($)</t>
  </si>
  <si>
    <t>12 per cent cap ($)</t>
  </si>
  <si>
    <t>Tallis</t>
  </si>
  <si>
    <t>57005</t>
  </si>
  <si>
    <t>THCA</t>
  </si>
  <si>
    <t>Hesketh</t>
  </si>
  <si>
    <t>57011</t>
  </si>
  <si>
    <t>Brenmoor</t>
  </si>
  <si>
    <t>57013</t>
  </si>
  <si>
    <t>NCCS</t>
  </si>
  <si>
    <t>Quarrow</t>
  </si>
  <si>
    <t>57019</t>
  </si>
  <si>
    <t>Varden</t>
  </si>
  <si>
    <t>57023</t>
  </si>
  <si>
    <t>Fennick</t>
  </si>
  <si>
    <t>57029</t>
  </si>
  <si>
    <t>UCAP</t>
  </si>
  <si>
    <t>Kerrow</t>
  </si>
  <si>
    <t>57031</t>
  </si>
  <si>
    <t>Stanwick</t>
  </si>
  <si>
    <t>57037</t>
  </si>
  <si>
    <t>Wexley</t>
  </si>
  <si>
    <t>57041</t>
  </si>
  <si>
    <t>EHCA</t>
  </si>
  <si>
    <t>Hollin</t>
  </si>
  <si>
    <t>57043</t>
  </si>
  <si>
    <t>Esker</t>
  </si>
  <si>
    <t>57047</t>
  </si>
  <si>
    <t>Ardley</t>
  </si>
  <si>
    <t>57053</t>
  </si>
  <si>
    <t>SCCA</t>
  </si>
  <si>
    <t>Silbury</t>
  </si>
  <si>
    <t>57059</t>
  </si>
  <si>
    <t>Ravell</t>
  </si>
  <si>
    <t>57061</t>
  </si>
  <si>
    <t>Fourteen counties</t>
  </si>
  <si>
    <t>Policy 5.2 holds a county at 12 per cent of the fund ($2,400,000); no county's share reaches it, so the fund is shared in proportion to the counts with nothing to redistribute. Counts and shares are carried unrounded and each allocation is rounded to the nearest hundred dollars (5.3); the rounded allocations sum to $19,999,900, and the total shown is the fund.</t>
  </si>
  <si>
    <t>Dwellings weatherized in program year 2025</t>
  </si>
  <si>
    <t>Spending on dwellings in program year 2025 ($)</t>
  </si>
  <si>
    <t>Dwellings: units of the jobs the Department of Energy grant or the State Weatherization Fund paid for (the job's funding codes, or program money the grants ledger charges to it, since the previous system kept one code per job), in the year each job was first completed (WX job status history), placed by the dwelling's census tract. Spending: grants ledger lines posted in 2025 and charged to jobs, at the amount posted, each placed by its job's tract; invoices for service months to June 2025 were prepared before the July move and carry the previous system's job numbers, read through the conversion notes. Whole dollars from the unrounded county sums.</t>
  </si>
  <si>
    <t>Item</t>
  </si>
  <si>
    <t>Basis</t>
  </si>
  <si>
    <t>Policy 3.1: federal returns for tax year 2023 (the latest year of the IRS ZIP code statistics, released 18 June 2026) claiming the earned income credit with at least one qualifying child, filed by residents of each member county.</t>
  </si>
  <si>
    <t>Residence</t>
  </si>
  <si>
    <t>Policy 4.1: each ZIP code's returns shared among counties by the residential ratio of the State Geographic Information Office's ZIP code to county file for 2023 Q4; the four P.O. Box ZIP codes, with no residential addresses, by their total ratio. The state line (00000) and the combined small ZIP codes (99999) count for no county (4.2).</t>
  </si>
  <si>
    <t>Children</t>
  </si>
  <si>
    <t>The IRS statistics count credit returns without saying how many have qualifying children. Above $25,000 every credit return has one (the Department of Revenue's Table 2 shows no childless return above its $20,000 to $25,000 class). In the first IRS class, $1 under $25,000 (the Department's first three classes), a ZIP code's returns with children are (credit amount less the childless average credit times its credit returns) divided by the difference between the family and childless average credits of that class statewide: $4,723.49 and $394.88.</t>
  </si>
  <si>
    <t>Check</t>
  </si>
  <si>
    <t>The same split applied to the state line's first class gives the Department's count of returns with children in its first three classes.</t>
  </si>
  <si>
    <t>Cap</t>
  </si>
  <si>
    <t>Policy 5.2: 12 per cent of the fund, $2,400,000; the largest share is Tallis County's 11.46 per cent, so the cap does not bind.</t>
  </si>
  <si>
    <t>Rounding</t>
  </si>
  <si>
    <t>Counts and shares unrounded; allocations to the nearest hundred dollars (5.3). The fourteen rounded allocations sum to $19,999,900.</t>
  </si>
  <si>
    <t>Record</t>
  </si>
  <si>
    <t>Policy 6.1: the dwellings the program weatherized in each county in program year 2025 and the program's spending on dwellings there, as the close-out counts spending (posted in the year).</t>
  </si>
  <si>
    <t>As of</t>
  </si>
  <si>
    <t>IRS statistics as released 18 June 2026; WX job system export and status history of 30 September 2026; grants ledger to 30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</si>
</sst>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3"/>
      <color theme="1"/>
      <name val="Calibri"/>
      <family val="2"/>
      <scheme val="minor"/>
    </font>
    <font>
      <b/>
      <sz val="11"/>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DDE7DF"/>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xf numFmtId="0" fontId="2" fillId="2" borderId="0" xfId="0" applyFont="1" applyFill="1" applyAlignment="1">
      <alignment vertical="center" wrapText="1"/>
    </xf>
    <xf numFmtId="0" fontId="2" fillId="0" borderId="0" xfId="0" applyFont="1" applyAlignment="1">
      <alignment vertical="center" wrapText="1"/>
    </xf>
    <xf numFmtId="164" fontId="0" fillId="0" borderId="0" xfId="0" applyNumberFormat="1"/>
    <xf numFmtId="2" fontId="0" fillId="0" borderId="0" xfId="0" applyNumberFormat="1"/>
    <xf numFmtId="3" fontId="0" fillId="0" borderId="0" xfId="0" applyNumberFormat="1"/>
    <xf numFmtId="0" fontId="2" fillId="0" borderId="1" xfId="0" applyFont="1"/>
    <xf numFmtId="164" fontId="2" fillId="0" borderId="1" xfId="0" applyNumberFormat="1" applyFont="1"/>
    <xf numFmtId="2" fontId="2" fillId="0" borderId="1" xfId="0" applyNumberFormat="1" applyFont="1"/>
    <xf numFmtId="3" fontId="2" fillId="0" borderId="1" xfId="0" applyNumberFormat="1" applyFont="1"/>
    <xf numFmtId="0" fontId="3" fillId="0" borderId="0" xfId="0" applyFont="1" applyAlignment="1">
      <alignment vertical="top" wrapText="1"/>
    </xf>
    <xf numFmtId="0" fontId="2" fillId="2" borderId="0" xfId="0" applyFont="1" applyFill="1"/>
    <xf numFmtId="0" fontId="2"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2027 allocations against the 12 per cent cap</a:t>
            </a:r>
          </a:p>
        </rich>
      </tx>
    </title>
    <plotArea>
      <barChart>
        <barDir val="col"/>
        <grouping val="clustered"/>
        <ser>
          <idx val="0"/>
          <order val="0"/>
          <tx>
            <strRef>
              <f>'Allocation'!F9</f>
            </strRef>
          </tx>
          <spPr>
            <a:solidFill xmlns:a="http://schemas.openxmlformats.org/drawingml/2006/main">
              <a:srgbClr val="8FA79B"/>
            </a:solidFill>
            <a:ln xmlns:a="http://schemas.openxmlformats.org/drawingml/2006/main">
              <a:noFill/>
              <a:prstDash val="solid"/>
            </a:ln>
          </spPr>
          <dPt>
            <idx val="0"/>
            <spPr>
              <a:solidFill xmlns:a="http://schemas.openxmlformats.org/drawingml/2006/main">
                <a:srgbClr val="2C6E5A"/>
              </a:solidFill>
              <a:ln xmlns:a="http://schemas.openxmlformats.org/drawingml/2006/main">
                <a:noFill/>
                <a:prstDash val="solid"/>
              </a:ln>
            </spPr>
          </dPt>
          <dLbls>
            <numFmt formatCode="#,##0"/>
            <showLegendKey val="0"/>
            <showVal val="1"/>
            <showCatName val="0"/>
            <showSerName val="0"/>
          </dLbls>
          <cat>
            <numRef>
              <f>'Allocation'!$A$10:$A$23</f>
            </numRef>
          </cat>
          <val>
            <numRef>
              <f>'Allocation'!$F$10:$F$23</f>
            </numRef>
          </val>
        </ser>
        <gapWidth val="55"/>
        <axId val="10"/>
        <axId val="100"/>
      </barChart>
      <lineChart>
        <grouping val="standard"/>
        <ser>
          <idx val="1"/>
          <order val="1"/>
          <tx>
            <strRef>
              <f>'Allocation'!H9</f>
            </strRef>
          </tx>
          <spPr>
            <a:ln xmlns:a="http://schemas.openxmlformats.org/drawingml/2006/main" w="19050">
              <a:solidFill>
                <a:srgbClr val="B23A2E"/>
              </a:solidFill>
              <a:prstDash val="dash"/>
            </a:ln>
          </spPr>
          <marker>
            <symbol val="none"/>
            <spPr>
              <a:ln xmlns:a="http://schemas.openxmlformats.org/drawingml/2006/main">
                <a:prstDash val="solid"/>
              </a:ln>
            </spPr>
          </marker>
          <val>
            <numRef>
              <f>'Allocation'!$H$10:$H$23</f>
            </numRef>
          </val>
          <smooth val="0"/>
        </ser>
        <axId val="10"/>
        <axId val="100"/>
      </lineChart>
      <catAx>
        <axId val="10"/>
        <scaling>
          <orientation val="minMax"/>
        </scaling>
        <delete val="0"/>
        <axPos val="l"/>
        <majorTickMark val="none"/>
        <minorTickMark val="none"/>
        <crossAx val="100"/>
        <lblOffset val="100"/>
      </catAx>
      <valAx>
        <axId val="100"/>
        <scaling>
          <orientation val="minMax"/>
          <max val="2600000"/>
          <min val="0"/>
        </scaling>
        <delete val="0"/>
        <axPos val="l"/>
        <title>
          <tx>
            <rich>
              <a:bodyPr xmlns:a="http://schemas.openxmlformats.org/drawingml/2006/main"/>
              <a:p xmlns:a="http://schemas.openxmlformats.org/drawingml/2006/main">
                <a:pPr>
                  <a:defRPr/>
                </a:pPr>
                <a:r>
                  <a:t>Allocation ($)</a:t>
                </a:r>
              </a:p>
            </rich>
          </tx>
        </title>
        <numFmt formatCode="#,##0" sourceLinked="0"/>
        <majorTickMark val="none"/>
        <minorTickMark val="none"/>
        <crossAx val="10"/>
        <majorUnit val="500000"/>
      </valAx>
    </plotArea>
    <legend>
      <legendPos val="b"/>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charts/chart1.xml" Id="rId1"/></Relationships>
</file>

<file path=xl/drawings/drawing1.xml><?xml version="1.0" encoding="utf-8"?>
<wsDr xmlns="http://schemas.openxmlformats.org/drawingml/2006/spreadsheetDrawing">
  <oneCellAnchor>
    <from>
      <col>0</col>
      <colOff>0</colOff>
      <row>27</row>
      <rowOff>0</rowOff>
    </from>
    <ext cx="5616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A614-4DB3-5E6F-B467-800DB4B80586}">
  <sheetPr>
    <pageSetUpPr fitToPage="1"/>
  </sheetPr>
  <dimension ref="A1:H26"/>
  <sheetViews>
    <sheetView tabSelected="1" workbookViewId="0">
      <pane xSplit="1" ySplit="9" topLeftCell="B10" activePane="bottomRight" state="frozen"/>
      <selection pane="topRight" activeCell="B1" sqref="B1"/>
      <selection pane="bottomLeft" activeCell="A10" sqref="A10"/>
      <selection pane="bottomRight" activeCell="B10" sqref="B10"/>
    </sheetView>
  </sheetViews>
  <sheetFormatPr defaultRowHeight="15" x14ac:dyDescent="0.25"/>
  <cols>
    <col min="1" max="1" width="14.7109375" customWidth="1"/>
    <col min="2" max="2" width="8.7109375" customWidth="1"/>
    <col min="3" max="3" width="9.7109375" customWidth="1"/>
    <col min="4" max="4" width="20.7109375" customWidth="1"/>
    <col min="5" max="5" width="16.7109375" customWidth="1"/>
    <col min="6" max="6" width="15.7109375" customWidth="1"/>
    <col min="7" max="7" width="3.7109375" customWidth="1"/>
    <col min="8" max="8" width="14.7109375" customWidth="1"/>
  </cols>
  <sheetData>
    <row r="1" spans="1:8" ht="36" customHeight="1" x14ac:dyDescent="0.25">
      <c r="A1" s="1" t="s">
        <v>0</v>
      </c>
    </row>
    <row r="3" spans="1:8" x14ac:dyDescent="0.25">
      <c r="A3" s="2" t="s">
        <v>1</v>
      </c>
      <c r="B3" t="s">
        <v>2</v>
      </c>
    </row>
    <row r="4" spans="1:8" x14ac:dyDescent="0.25">
      <c r="A4" s="2" t="s">
        <v>3</v>
      </c>
      <c r="B4" t="s">
        <v>4</v>
      </c>
    </row>
    <row r="5" spans="1:8" x14ac:dyDescent="0.25">
      <c r="A5" s="2" t="s">
        <v>5</v>
      </c>
      <c r="B5" t="s">
        <v>6</v>
      </c>
    </row>
    <row r="6" spans="1:8" x14ac:dyDescent="0.25">
      <c r="A6" s="2" t="s">
        <v>7</v>
      </c>
      <c r="B6" t="s">
        <v>8</v>
      </c>
    </row>
    <row r="7" spans="1:8" x14ac:dyDescent="0.25">
      <c r="A7" s="2" t="s">
        <v>9</v>
      </c>
      <c r="B7" t="s">
        <v>10</v>
      </c>
    </row>
    <row r="9" spans="1:8" ht="46" customHeight="1" x14ac:dyDescent="0.25">
      <c r="A9" s="3" t="s">
        <v>11</v>
      </c>
      <c r="B9" s="3" t="s">
        <v>12</v>
      </c>
      <c r="C9" s="3" t="s">
        <v>13</v>
      </c>
      <c r="D9" s="3" t="s">
        <v>14</v>
      </c>
      <c r="E9" s="3" t="s">
        <v>15</v>
      </c>
      <c r="F9" s="3" t="s">
        <v>16</v>
      </c>
      <c r="H9" s="4" t="s">
        <v>17</v>
      </c>
    </row>
    <row r="10" spans="1:8" x14ac:dyDescent="0.25">
      <c r="A10" t="s">
        <v>18</v>
      </c>
      <c r="B10" t="s">
        <v>19</v>
      </c>
      <c r="C10" t="s">
        <v>20</v>
      </c>
      <c r="D10" s="5">
        <v>6270.1</v>
      </c>
      <c r="E10" s="6">
        <v>11.46</v>
      </c>
      <c r="F10" s="7">
        <v>2292000</v>
      </c>
      <c r="H10" s="7">
        <v>2400000</v>
      </c>
    </row>
    <row r="11" spans="1:8" x14ac:dyDescent="0.25">
      <c r="A11" t="s">
        <v>21</v>
      </c>
      <c r="B11" t="s">
        <v>22</v>
      </c>
      <c r="C11" t="s">
        <v>20</v>
      </c>
      <c r="D11" s="5">
        <v>3694.8</v>
      </c>
      <c r="E11" s="6">
        <v>6.75</v>
      </c>
      <c r="F11" s="7">
        <v>1350600</v>
      </c>
      <c r="H11" s="7">
        <v>2400000</v>
      </c>
    </row>
    <row r="12" spans="1:8" x14ac:dyDescent="0.25">
      <c r="A12" t="s">
        <v>23</v>
      </c>
      <c r="B12" t="s">
        <v>24</v>
      </c>
      <c r="C12" t="s">
        <v>25</v>
      </c>
      <c r="D12" s="5">
        <v>5242.6</v>
      </c>
      <c r="E12" s="6">
        <v>9.58</v>
      </c>
      <c r="F12" s="7">
        <v>1916400</v>
      </c>
      <c r="H12" s="7">
        <v>2400000</v>
      </c>
    </row>
    <row r="13" spans="1:8" x14ac:dyDescent="0.25">
      <c r="A13" t="s">
        <v>26</v>
      </c>
      <c r="B13" t="s">
        <v>27</v>
      </c>
      <c r="C13" t="s">
        <v>25</v>
      </c>
      <c r="D13" s="5">
        <v>2752.4</v>
      </c>
      <c r="E13" s="6">
        <v>5.03</v>
      </c>
      <c r="F13" s="7">
        <v>1006100</v>
      </c>
      <c r="H13" s="7">
        <v>2400000</v>
      </c>
    </row>
    <row r="14" spans="1:8" x14ac:dyDescent="0.25">
      <c r="A14" t="s">
        <v>28</v>
      </c>
      <c r="B14" t="s">
        <v>29</v>
      </c>
      <c r="C14" t="s">
        <v>25</v>
      </c>
      <c r="D14" s="5">
        <v>4206.5</v>
      </c>
      <c r="E14" s="6">
        <v>7.69</v>
      </c>
      <c r="F14" s="7">
        <v>1537700</v>
      </c>
      <c r="H14" s="7">
        <v>2400000</v>
      </c>
    </row>
    <row r="15" spans="1:8" x14ac:dyDescent="0.25">
      <c r="A15" t="s">
        <v>30</v>
      </c>
      <c r="B15" t="s">
        <v>31</v>
      </c>
      <c r="C15" t="s">
        <v>32</v>
      </c>
      <c r="D15" s="5">
        <v>5291.3</v>
      </c>
      <c r="E15" s="6">
        <v>9.67</v>
      </c>
      <c r="F15" s="7">
        <v>1934200</v>
      </c>
      <c r="H15" s="7">
        <v>2400000</v>
      </c>
    </row>
    <row r="16" spans="1:8" x14ac:dyDescent="0.25">
      <c r="A16" t="s">
        <v>33</v>
      </c>
      <c r="B16" t="s">
        <v>34</v>
      </c>
      <c r="C16" t="s">
        <v>32</v>
      </c>
      <c r="D16" s="5">
        <v>2724.1</v>
      </c>
      <c r="E16" s="6">
        <v>4.98</v>
      </c>
      <c r="F16" s="7">
        <v>995800</v>
      </c>
      <c r="H16" s="7">
        <v>2400000</v>
      </c>
    </row>
    <row r="17" spans="1:8" x14ac:dyDescent="0.25">
      <c r="A17" t="s">
        <v>35</v>
      </c>
      <c r="B17" t="s">
        <v>36</v>
      </c>
      <c r="C17" t="s">
        <v>32</v>
      </c>
      <c r="D17" s="5">
        <v>3869.3</v>
      </c>
      <c r="E17" s="6">
        <v>7.07</v>
      </c>
      <c r="F17" s="7">
        <v>1414400</v>
      </c>
      <c r="H17" s="7">
        <v>2400000</v>
      </c>
    </row>
    <row r="18" spans="1:8" x14ac:dyDescent="0.25">
      <c r="A18" t="s">
        <v>37</v>
      </c>
      <c r="B18" t="s">
        <v>38</v>
      </c>
      <c r="C18" t="s">
        <v>39</v>
      </c>
      <c r="D18" s="5">
        <v>4782.2</v>
      </c>
      <c r="E18" s="6">
        <v>8.74</v>
      </c>
      <c r="F18" s="7">
        <v>1748100</v>
      </c>
      <c r="H18" s="7">
        <v>2400000</v>
      </c>
    </row>
    <row r="19" spans="1:8" x14ac:dyDescent="0.25">
      <c r="A19" t="s">
        <v>40</v>
      </c>
      <c r="B19" t="s">
        <v>41</v>
      </c>
      <c r="C19" t="s">
        <v>39</v>
      </c>
      <c r="D19" s="5">
        <v>3199.1</v>
      </c>
      <c r="E19" s="6">
        <v>5.85</v>
      </c>
      <c r="F19" s="7">
        <v>1169400</v>
      </c>
      <c r="H19" s="7">
        <v>2400000</v>
      </c>
    </row>
    <row r="20" spans="1:8" x14ac:dyDescent="0.25">
      <c r="A20" t="s">
        <v>42</v>
      </c>
      <c r="B20" t="s">
        <v>43</v>
      </c>
      <c r="C20" t="s">
        <v>39</v>
      </c>
      <c r="D20" s="5">
        <v>2307.2</v>
      </c>
      <c r="E20" s="6">
        <v>4.22</v>
      </c>
      <c r="F20" s="7">
        <v>843400</v>
      </c>
      <c r="H20" s="7">
        <v>2400000</v>
      </c>
    </row>
    <row r="21" spans="1:8" x14ac:dyDescent="0.25">
      <c r="A21" t="s">
        <v>44</v>
      </c>
      <c r="B21" t="s">
        <v>45</v>
      </c>
      <c r="C21" t="s">
        <v>46</v>
      </c>
      <c r="D21" s="5">
        <v>4863.2</v>
      </c>
      <c r="E21" s="6">
        <v>8.890000000000001</v>
      </c>
      <c r="F21" s="7">
        <v>1777700</v>
      </c>
      <c r="H21" s="7">
        <v>2400000</v>
      </c>
    </row>
    <row r="22" spans="1:8" x14ac:dyDescent="0.25">
      <c r="A22" t="s">
        <v>47</v>
      </c>
      <c r="B22" t="s">
        <v>48</v>
      </c>
      <c r="C22" t="s">
        <v>46</v>
      </c>
      <c r="D22" s="5">
        <v>2961.3</v>
      </c>
      <c r="E22" s="6">
        <v>5.41</v>
      </c>
      <c r="F22" s="7">
        <v>1082500</v>
      </c>
      <c r="H22" s="7">
        <v>2400000</v>
      </c>
    </row>
    <row r="23" spans="1:8" x14ac:dyDescent="0.25">
      <c r="A23" t="s">
        <v>49</v>
      </c>
      <c r="B23" t="s">
        <v>50</v>
      </c>
      <c r="C23" t="s">
        <v>46</v>
      </c>
      <c r="D23" s="5">
        <v>2548.6</v>
      </c>
      <c r="E23" s="6">
        <v>4.66</v>
      </c>
      <c r="F23" s="7">
        <v>931600</v>
      </c>
      <c r="H23" s="7">
        <v>2400000</v>
      </c>
    </row>
    <row r="24" spans="1:8" x14ac:dyDescent="0.25">
      <c r="A24" s="8" t="s">
        <v>51</v>
      </c>
      <c r="B24" s="8"/>
      <c r="C24" s="8"/>
      <c r="D24" s="9">
        <v>54712.6</v>
      </c>
      <c r="E24" s="10">
        <v>100</v>
      </c>
      <c r="F24" s="11">
        <v>20000000</v>
      </c>
    </row>
    <row r="26" spans="1:8" ht="40" customHeight="1" x14ac:dyDescent="0.25">
      <c r="A26" s="12" t="s">
        <v>52</v>
      </c>
    </row>
  </sheetData>
  <mergeCells count="2">
    <mergeCell ref="A26:F26"/>
    <mergeCell ref="A1:F1"/>
  </mergeCells>
  <pageMargins left="0.7" right="0.7" top="0.75" bottom="0.75" header="0.3" footer="0.3"/>
  <pageSetup orientation="landscape" paperSize="1" fitToHeight="0" fitToWidth="1"/>
  <drawing xmlns:r="http://schemas.openxmlformats.org/officeDocument/2006/relationships"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1C9E-DEC4-55FF-BCD8-5D0407E57014}">
  <sheetPr>
    <pageSetUpPr fitToPage="1"/>
  </sheetPr>
  <dimension ref="A1:C18"/>
  <sheetViews>
    <sheetView workbookViewId="0">
      <pane ySplit="1" topLeftCell="A2" activePane="bottomLeft" state="frozen"/>
      <selection pane="bottomLeft" activeCell="A1" sqref="A1"/>
    </sheetView>
  </sheetViews>
  <sheetFormatPr defaultRowHeight="15" x14ac:dyDescent="0.25"/>
  <cols>
    <col min="1" max="1" width="18.7109375" customWidth="1"/>
    <col min="2" max="2" width="22.7109375" customWidth="1"/>
    <col min="3" max="3" width="24.7109375" customWidth="1"/>
  </cols>
  <sheetData>
    <row r="1" spans="1:3" ht="34" customHeight="1" x14ac:dyDescent="0.25">
      <c r="A1" s="3" t="s">
        <v>11</v>
      </c>
      <c r="B1" s="3" t="s">
        <v>53</v>
      </c>
      <c r="C1" s="3" t="s">
        <v>54</v>
      </c>
    </row>
    <row r="2" spans="1:3" x14ac:dyDescent="0.25">
      <c r="A2" t="s">
        <v>18</v>
      </c>
      <c r="B2" s="7">
        <v>352</v>
      </c>
      <c r="C2" s="7">
        <v>1653025</v>
      </c>
    </row>
    <row r="3" spans="1:3" x14ac:dyDescent="0.25">
      <c r="A3" t="s">
        <v>21</v>
      </c>
      <c r="B3" s="7">
        <v>113</v>
      </c>
      <c r="C3" s="7">
        <v>591270</v>
      </c>
    </row>
    <row r="4" spans="1:3" x14ac:dyDescent="0.25">
      <c r="A4" t="s">
        <v>23</v>
      </c>
      <c r="B4" s="7">
        <v>135</v>
      </c>
      <c r="C4" s="7">
        <v>915332</v>
      </c>
    </row>
    <row r="5" spans="1:3" x14ac:dyDescent="0.25">
      <c r="A5" t="s">
        <v>26</v>
      </c>
      <c r="B5" s="7">
        <v>81</v>
      </c>
      <c r="C5" s="7">
        <v>590212</v>
      </c>
    </row>
    <row r="6" spans="1:3" x14ac:dyDescent="0.25">
      <c r="A6" t="s">
        <v>28</v>
      </c>
      <c r="B6" s="7">
        <v>200</v>
      </c>
      <c r="C6" s="7">
        <v>1036943</v>
      </c>
    </row>
    <row r="7" spans="1:3" x14ac:dyDescent="0.25">
      <c r="A7" t="s">
        <v>30</v>
      </c>
      <c r="B7" s="7">
        <v>212</v>
      </c>
      <c r="C7" s="7">
        <v>1061199</v>
      </c>
    </row>
    <row r="8" spans="1:3" x14ac:dyDescent="0.25">
      <c r="A8" t="s">
        <v>33</v>
      </c>
      <c r="B8" s="7">
        <v>57</v>
      </c>
      <c r="C8" s="7">
        <v>377202</v>
      </c>
    </row>
    <row r="9" spans="1:3" x14ac:dyDescent="0.25">
      <c r="A9" t="s">
        <v>35</v>
      </c>
      <c r="B9" s="7">
        <v>114</v>
      </c>
      <c r="C9" s="7">
        <v>672024</v>
      </c>
    </row>
    <row r="10" spans="1:3" x14ac:dyDescent="0.25">
      <c r="A10" t="s">
        <v>37</v>
      </c>
      <c r="B10" s="7">
        <v>129</v>
      </c>
      <c r="C10" s="7">
        <v>686082</v>
      </c>
    </row>
    <row r="11" spans="1:3" x14ac:dyDescent="0.25">
      <c r="A11" t="s">
        <v>40</v>
      </c>
      <c r="B11" s="7">
        <v>131</v>
      </c>
      <c r="C11" s="7">
        <v>745436</v>
      </c>
    </row>
    <row r="12" spans="1:3" x14ac:dyDescent="0.25">
      <c r="A12" t="s">
        <v>42</v>
      </c>
      <c r="B12" s="7">
        <v>78</v>
      </c>
      <c r="C12" s="7">
        <v>448447</v>
      </c>
    </row>
    <row r="13" spans="1:3" x14ac:dyDescent="0.25">
      <c r="A13" t="s">
        <v>44</v>
      </c>
      <c r="B13" s="7">
        <v>176</v>
      </c>
      <c r="C13" s="7">
        <v>1021267</v>
      </c>
    </row>
    <row r="14" spans="1:3" x14ac:dyDescent="0.25">
      <c r="A14" t="s">
        <v>47</v>
      </c>
      <c r="B14" s="7">
        <v>180</v>
      </c>
      <c r="C14" s="7">
        <v>785088</v>
      </c>
    </row>
    <row r="15" spans="1:3" x14ac:dyDescent="0.25">
      <c r="A15" t="s">
        <v>49</v>
      </c>
      <c r="B15" s="7">
        <v>51</v>
      </c>
      <c r="C15" s="7">
        <v>308925</v>
      </c>
    </row>
    <row r="16" spans="1:3" x14ac:dyDescent="0.25">
      <c r="A16" s="8" t="s">
        <v>51</v>
      </c>
      <c r="B16" s="11">
        <v>2009</v>
      </c>
      <c r="C16" s="11">
        <v>10892453</v>
      </c>
    </row>
    <row r="18" spans="1:1" ht="92" customHeight="1" x14ac:dyDescent="0.25">
      <c r="A18" s="12" t="s">
        <v>55</v>
      </c>
    </row>
  </sheetData>
  <mergeCells count="1">
    <mergeCell ref="A18:C18"/>
  </mergeCells>
  <pageMargins left="0.7" right="0.7" top="0.75" bottom="0.75" header="0.3" footer="0.3"/>
  <pageSetup orientation="landscape" paperSize="1"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1E1C-177A-599A-8ABA-8BED947CCF11}">
  <sheetPr>
    <pageSetUpPr fitToPage="1"/>
  </sheetPr>
  <dimension ref="A1:B9"/>
  <sheetViews>
    <sheetView workbookViewId="0">
      <selection activeCell="A1" sqref="A1"/>
    </sheetView>
  </sheetViews>
  <sheetFormatPr defaultRowHeight="15" x14ac:dyDescent="0.25"/>
  <cols>
    <col min="1" max="1" width="14.7109375" customWidth="1"/>
    <col min="2" max="2" width="100.7109375" customWidth="1"/>
  </cols>
  <sheetData>
    <row r="1" spans="1:2" x14ac:dyDescent="0.25">
      <c r="A1" s="13" t="s">
        <v>56</v>
      </c>
      <c r="B1" s="13" t="s">
        <v>57</v>
      </c>
    </row>
    <row r="2" spans="1:2" ht="48" customHeight="1" x14ac:dyDescent="0.25">
      <c r="A2" s="14" t="s">
        <v>57</v>
      </c>
      <c r="B2" s="15" t="s">
        <v>58</v>
      </c>
    </row>
    <row r="3" spans="1:2" ht="64" customHeight="1" x14ac:dyDescent="0.25">
      <c r="A3" s="14" t="s">
        <v>59</v>
      </c>
      <c r="B3" s="15" t="s">
        <v>60</v>
      </c>
    </row>
    <row r="4" spans="1:2" ht="96" customHeight="1" x14ac:dyDescent="0.25">
      <c r="A4" s="14" t="s">
        <v>61</v>
      </c>
      <c r="B4" s="15" t="s">
        <v>62</v>
      </c>
    </row>
    <row r="5" spans="1:2" ht="32" customHeight="1" x14ac:dyDescent="0.25">
      <c r="A5" s="14" t="s">
        <v>63</v>
      </c>
      <c r="B5" s="15" t="s">
        <v>64</v>
      </c>
    </row>
    <row r="6" spans="1:2" ht="32" customHeight="1" x14ac:dyDescent="0.25">
      <c r="A6" s="14" t="s">
        <v>65</v>
      </c>
      <c r="B6" s="15" t="s">
        <v>66</v>
      </c>
    </row>
    <row r="7" spans="1:2" ht="32" customHeight="1" x14ac:dyDescent="0.25">
      <c r="A7" s="14" t="s">
        <v>67</v>
      </c>
      <c r="B7" s="15" t="s">
        <v>68</v>
      </c>
    </row>
    <row r="8" spans="1:2" ht="32" customHeight="1" x14ac:dyDescent="0.25">
      <c r="A8" s="14" t="s">
        <v>69</v>
      </c>
      <c r="B8" s="15" t="s">
        <v>70</v>
      </c>
    </row>
    <row r="9" spans="1:2" ht="32" customHeight="1" x14ac:dyDescent="0.25">
      <c r="A9" s="14" t="s">
        <v>71</v>
      </c>
      <c r="B9" s="15" t="s">
        <v>72</v>
      </c>
    </row>
  </sheetData>
  <pageMargins left="0.7" right="0.7" top="0.75" bottom="0.75" header="0.3" footer="0.3"/>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Allocation</vt:lpstr>
      <vt:lpstr>Program year 2025</vt:lpstr>
      <vt:lpstr>Notes</vt:lpstr>
    </vt:vector>
  </TitlesOfParts>
  <Company>Corran Valley Council of Governments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Gonzalez</dc:creator>
  <cp:lastModifiedBy>Brianna Wallace</cp:lastModifiedBy>
  <dcterms:created xsi:type="dcterms:W3CDTF">2026-10-15T14:12:00Z</dcterms:created>
  <dcterms:modified xsi:type="dcterms:W3CDTF">2026-10-19T21:06:33Z</dcterms:modified>
</cp:coreProperties>
</file>