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259203DB-71D2-5496-BC98-D92DA61C3CD3}"/>
  </bookViews>
  <sheets>
    <sheet name="2027 reservation" sheetId="1" r:id="rId1"/>
    <sheet name="Enrolment days 2026" sheetId="2" r:id="rId2"/>
    <sheet name="Exclusion zones 2026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<sst xmlns="http://schemas.openxmlformats.org/spreadsheetml/2006/main" count="55" uniqueCount="41">
  <si>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Region 4: 2027 Belvantis order, enrolments reserved under Directive 26-07</t>
  </si>
  <si>
    <t>Prepared 8 January 2027 from the records to 31 December 2026</t>
  </si>
  <si>
    <t>People on the Region 4 caseload at the end of 31 December 2026</t>
  </si>
  <si>
    <t>Forecast: of those, booked on a new Category V charge in 2027 while still supervised</t>
  </si>
  <si>
    <t>Enrolments to reserve for 2027</t>
  </si>
  <si>
    <t>Forecast to the nearest 100; see the forecast memo for the model. Exclusion zones for 2027 are not forecast here.</t>
  </si>
  <si>
    <t>Enrolment days owed to Belvantis for 2026, by month (Schedule C)</t>
  </si>
  <si>
    <t>Month</t>
  </si>
  <si>
    <t>Enrolment days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</si>
  <si>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</si>
  <si>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</si>
  <si>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</si>
  <si>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</si>
  <si>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</si>
  <si>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</si>
  <si>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</si>
  <si>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</si>
  <si>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</si>
  <si>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</si>
  <si>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</si>
  <si>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</si>
  <si>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Total 2026</t>
  </si>
  <si>
    <t>Days on which a client held a device on the Region 4 account, less suspended days, days in either county jail and days after Region 4's supervision ended; voided events disregarded, and a client Belvantis holds under both a legacy offender number and a CMS id counted once.</t>
  </si>
  <si>
    <t>Exclusion zones Directive 26-07 section 4 would have set in 2026, by month</t>
  </si>
  <si>
    <t>Zones set</t>
  </si>
  <si>
    <t>Halverton Police Department arrests of Region 4 supervisees on Category V charges, at the first booking on each incident; one zone per supervisee for each Halverton residence of the incident's victims, a residence counted once however the report and its supplements write it.</t>
  </si>
  <si>
    <t>Notes</t>
  </si>
  <si>
    <t>As of</t>
  </si>
  <si>
    <t>Records to 31 December 2026; prepared 8 January 2027.</t>
  </si>
  <si>
    <t>Caseload</t>
  </si>
  <si>
    <t>People with an open Region 4 episode at the end of 31 December 2026, counted once (CMS export).</t>
  </si>
  <si>
    <t>Category V</t>
  </si>
  <si>
    <t>Directive 26-07, Appendix; former Title 21 and Title 8 sections read through the Revisor's 2024 table.</t>
  </si>
  <si>
    <t>Forecast</t>
  </si>
  <si>
    <t>New-arrest bookings in either county jail in 2027 while still supervised, people booked at least once.</t>
  </si>
  <si>
    <t>Enrolment day</t>
  </si>
  <si>
    <t>Belvantis contract MDOC-2025-117, Schedule C: a day a client holds a device on the Region 4 account, less suspended days, custody days and days after Region 4's supervision ended.</t>
  </si>
  <si>
    <t>Exclusion zone</t>
  </si>
  <si>
    <t>Directive 26-07, section 4: one per Halverton residence of the incident's victims, per supervisee and incident, set in the month of the first booking.</t>
  </si>
  <si>
    <t>Prepared by</t>
  </si>
  <si>
    <t>Zachary Wallace, Research and Planning, Region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</si>
</sst>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0400-4BEF-5A07-819A-AA604F341523}">
  <dimension ref="A1:B8"/>
  <sheetViews>
    <sheetView showGridLines="0" workbookViewId="0">
      <selection activeCell="A1" sqref="A1"/>
    </sheetView>
  </sheetViews>
  <sheetFormatPr defaultRowHeight="15" x14ac:dyDescent="0.25"/>
  <cols>
    <col min="1" max="1" width="84.7109375" customWidth="1"/>
    <col min="2" max="2" width="12.7109375" customWidth="1"/>
  </cols>
  <sheetData>
    <row r="1" spans="1:2" x14ac:dyDescent="0.25">
      <c r="A1" s="1" t="s">
        <v>0</v>
      </c>
    </row>
    <row r="2" spans="1:2" x14ac:dyDescent="0.25">
      <c r="A2" t="s">
        <v>1</v>
      </c>
    </row>
    <row r="4" spans="1:2" x14ac:dyDescent="0.25">
      <c r="A4" t="s">
        <v>2</v>
      </c>
      <c r="B4" s="2">
        <v>7688</v>
      </c>
    </row>
    <row r="5" spans="1:2" x14ac:dyDescent="0.25">
      <c r="A5" s="3" t="s">
        <v>3</v>
      </c>
      <c r="B5" s="4">
        <v>500</v>
      </c>
    </row>
    <row r="6" spans="1:2" x14ac:dyDescent="0.25">
      <c r="A6" t="s">
        <v>4</v>
      </c>
      <c r="B6" s="2">
        <v>500</v>
      </c>
    </row>
    <row r="8" spans="1:2" x14ac:dyDescent="0.25">
      <c r="A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FCD7-0CBF-5F46-9DC8-3009E8120346}">
  <dimension ref="A1:B18"/>
  <sheetViews>
    <sheetView showGridLines="0"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24.7109375" customWidth="1"/>
    <col min="2" max="2" width="16.7109375" customWidth="1"/>
  </cols>
  <sheetData>
    <row r="1" spans="1:2" x14ac:dyDescent="0.25">
      <c r="A1" s="1" t="s">
        <v>6</v>
      </c>
    </row>
    <row r="3" spans="1:2" x14ac:dyDescent="0.25">
      <c r="A3" s="5" t="s">
        <v>7</v>
      </c>
      <c r="B3" s="5" t="s">
        <v>8</v>
      </c>
    </row>
    <row r="4" spans="1:2" x14ac:dyDescent="0.25">
      <c r="A4" t="s">
        <v>9</v>
      </c>
      <c r="B4" s="2">
        <v>6256</v>
      </c>
    </row>
    <row r="5" spans="1:2" x14ac:dyDescent="0.25">
      <c r="A5" t="s">
        <v>10</v>
      </c>
      <c r="B5" s="2">
        <v>5669</v>
      </c>
    </row>
    <row r="6" spans="1:2" x14ac:dyDescent="0.25">
      <c r="A6" t="s">
        <v>11</v>
      </c>
      <c r="B6" s="2">
        <v>6334</v>
      </c>
    </row>
    <row r="7" spans="1:2" x14ac:dyDescent="0.25">
      <c r="A7" t="s">
        <v>12</v>
      </c>
      <c r="B7" s="2">
        <v>6140</v>
      </c>
    </row>
    <row r="8" spans="1:2" x14ac:dyDescent="0.25">
      <c r="A8" t="s">
        <v>13</v>
      </c>
      <c r="B8" s="2">
        <v>6348</v>
      </c>
    </row>
    <row r="9" spans="1:2" x14ac:dyDescent="0.25">
      <c r="A9" t="s">
        <v>14</v>
      </c>
      <c r="B9" s="2">
        <v>5872</v>
      </c>
    </row>
    <row r="10" spans="1:2" x14ac:dyDescent="0.25">
      <c r="A10" t="s">
        <v>15</v>
      </c>
      <c r="B10" s="2">
        <v>6241</v>
      </c>
    </row>
    <row r="11" spans="1:2" x14ac:dyDescent="0.25">
      <c r="A11" t="s">
        <v>16</v>
      </c>
      <c r="B11" s="2">
        <v>6418</v>
      </c>
    </row>
    <row r="12" spans="1:2" x14ac:dyDescent="0.25">
      <c r="A12" t="s">
        <v>17</v>
      </c>
      <c r="B12" s="2">
        <v>6093</v>
      </c>
    </row>
    <row r="13" spans="1:2" x14ac:dyDescent="0.25">
      <c r="A13" t="s">
        <v>18</v>
      </c>
      <c r="B13" s="2">
        <v>6572</v>
      </c>
    </row>
    <row r="14" spans="1:2" x14ac:dyDescent="0.25">
      <c r="A14" t="s">
        <v>19</v>
      </c>
      <c r="B14" s="2">
        <v>6820</v>
      </c>
    </row>
    <row r="15" spans="1:2" x14ac:dyDescent="0.25">
      <c r="A15" t="s">
        <v>20</v>
      </c>
      <c r="B15" s="2">
        <v>6995</v>
      </c>
    </row>
    <row r="16" spans="1:2" x14ac:dyDescent="0.25">
      <c r="A16" s="3" t="s">
        <v>21</v>
      </c>
      <c r="B16" s="4">
        <f>SUM(B4:B15)</f>
        <v/>
      </c>
    </row>
    <row r="18" spans="1:1" x14ac:dyDescent="0.25">
      <c r="A18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DEDC-ABEB-5FBF-BCF4-60A044EB9BBD}">
  <dimension ref="A1:B18"/>
  <sheetViews>
    <sheetView showGridLines="0"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24.7109375" customWidth="1"/>
    <col min="2" max="2" width="14.7109375" customWidth="1"/>
  </cols>
  <sheetData>
    <row r="1" spans="1:2" x14ac:dyDescent="0.25">
      <c r="A1" s="1" t="s">
        <v>23</v>
      </c>
    </row>
    <row r="3" spans="1:2" x14ac:dyDescent="0.25">
      <c r="A3" s="5" t="s">
        <v>7</v>
      </c>
      <c r="B3" s="5" t="s">
        <v>24</v>
      </c>
    </row>
    <row r="4" spans="1:2" x14ac:dyDescent="0.25">
      <c r="A4" t="s">
        <v>9</v>
      </c>
      <c r="B4" s="2">
        <v>9</v>
      </c>
    </row>
    <row r="5" spans="1:2" x14ac:dyDescent="0.25">
      <c r="A5" t="s">
        <v>10</v>
      </c>
      <c r="B5" s="2">
        <v>17</v>
      </c>
    </row>
    <row r="6" spans="1:2" x14ac:dyDescent="0.25">
      <c r="A6" t="s">
        <v>11</v>
      </c>
      <c r="B6" s="2">
        <v>16</v>
      </c>
    </row>
    <row r="7" spans="1:2" x14ac:dyDescent="0.25">
      <c r="A7" t="s">
        <v>12</v>
      </c>
      <c r="B7" s="2">
        <v>13</v>
      </c>
    </row>
    <row r="8" spans="1:2" x14ac:dyDescent="0.25">
      <c r="A8" t="s">
        <v>13</v>
      </c>
      <c r="B8" s="2">
        <v>13</v>
      </c>
    </row>
    <row r="9" spans="1:2" x14ac:dyDescent="0.25">
      <c r="A9" t="s">
        <v>14</v>
      </c>
      <c r="B9" s="2">
        <v>11</v>
      </c>
    </row>
    <row r="10" spans="1:2" x14ac:dyDescent="0.25">
      <c r="A10" t="s">
        <v>15</v>
      </c>
      <c r="B10" s="2">
        <v>13</v>
      </c>
    </row>
    <row r="11" spans="1:2" x14ac:dyDescent="0.25">
      <c r="A11" t="s">
        <v>16</v>
      </c>
      <c r="B11" s="2">
        <v>11</v>
      </c>
    </row>
    <row r="12" spans="1:2" x14ac:dyDescent="0.25">
      <c r="A12" t="s">
        <v>17</v>
      </c>
      <c r="B12" s="2">
        <v>11</v>
      </c>
    </row>
    <row r="13" spans="1:2" x14ac:dyDescent="0.25">
      <c r="A13" t="s">
        <v>18</v>
      </c>
      <c r="B13" s="2">
        <v>13</v>
      </c>
    </row>
    <row r="14" spans="1:2" x14ac:dyDescent="0.25">
      <c r="A14" t="s">
        <v>19</v>
      </c>
      <c r="B14" s="2">
        <v>8</v>
      </c>
    </row>
    <row r="15" spans="1:2" x14ac:dyDescent="0.25">
      <c r="A15" t="s">
        <v>20</v>
      </c>
      <c r="B15" s="2">
        <v>8</v>
      </c>
    </row>
    <row r="16" spans="1:2" x14ac:dyDescent="0.25">
      <c r="A16" s="3" t="s">
        <v>21</v>
      </c>
      <c r="B16" s="4">
        <f>SUM(B4:B15)</f>
        <v/>
      </c>
    </row>
    <row r="18" spans="1:1" x14ac:dyDescent="0.25">
      <c r="A18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E25C-12EF-540F-AFF1-289CC22B2C38}">
  <dimension ref="A1:B9"/>
  <sheetViews>
    <sheetView workbookViewId="0">
      <selection activeCell="A1" sqref="A1"/>
    </sheetView>
  </sheetViews>
  <sheetFormatPr defaultRowHeight="15" x14ac:dyDescent="0.25"/>
  <cols>
    <col min="1" max="1" width="16.7109375" customWidth="1"/>
    <col min="2" max="2" width="110.7109375" customWidth="1"/>
  </cols>
  <sheetData>
    <row r="1" spans="1:2" x14ac:dyDescent="0.25">
      <c r="A1" s="1" t="s">
        <v>26</v>
      </c>
    </row>
    <row r="3" spans="1:2" x14ac:dyDescent="0.25">
      <c r="A3" s="3" t="s">
        <v>27</v>
      </c>
      <c r="B3" t="s">
        <v>28</v>
      </c>
    </row>
    <row r="4" spans="1:2" x14ac:dyDescent="0.25">
      <c r="A4" s="3" t="s">
        <v>29</v>
      </c>
      <c r="B4" t="s">
        <v>30</v>
      </c>
    </row>
    <row r="5" spans="1:2" x14ac:dyDescent="0.25">
      <c r="A5" s="3" t="s">
        <v>31</v>
      </c>
      <c r="B5" t="s">
        <v>32</v>
      </c>
    </row>
    <row r="6" spans="1:2" x14ac:dyDescent="0.25">
      <c r="A6" s="3" t="s">
        <v>33</v>
      </c>
      <c r="B6" t="s">
        <v>34</v>
      </c>
    </row>
    <row r="7" spans="1:2" x14ac:dyDescent="0.25">
      <c r="A7" s="3" t="s">
        <v>35</v>
      </c>
      <c r="B7" t="s">
        <v>36</v>
      </c>
    </row>
    <row r="8" spans="1:2" x14ac:dyDescent="0.25">
      <c r="A8" s="3" t="s">
        <v>37</v>
      </c>
      <c r="B8" t="s">
        <v>38</v>
      </c>
    </row>
    <row r="9" spans="1:2" x14ac:dyDescent="0.25">
      <c r="A9" s="3" t="s">
        <v>39</v>
      </c>
      <c r="B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2027 reservation</vt:lpstr>
      <vt:lpstr>Enrolment days 2026</vt:lpstr>
      <vt:lpstr>Exclusion zones 2026</vt:lpstr>
      <vt:lpstr>Notes</vt:lpstr>
    </vt:vector>
  </TitlesOfParts>
  <Company>Merrow Department of Corrections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Wallace</dc:creator>
  <cp:lastModifiedBy>Zachary Wallace</cp:lastModifiedBy>
  <dcterms:created xsi:type="dcterms:W3CDTF">2027-01-07T15:22:00Z</dcterms:created>
  <dcterms:modified xsi:type="dcterms:W3CDTF">2027-01-08T16:05:00Z</dcterms:modified>
</cp:coreProperties>
</file>