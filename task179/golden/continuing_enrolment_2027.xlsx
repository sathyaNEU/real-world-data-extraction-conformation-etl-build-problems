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9670C397-C993-5217-B239-055284C27863}"/>
  </bookViews>
  <sheets>
    <sheet name="Projection" sheetId="1" r:id="rId1"/>
    <sheet name="Teaching groups S1 2026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<sst xmlns="http://schemas.openxmlformats.org/spreadsheetml/2006/main" count="44" uniqueCount="31">
  <si>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Continuing enrolment projection 2027: first-year intake</t>
  </si>
  <si>
    <t>Planning and Insight, prepared 16 October 2026 from the 1 October 2026 census</t>
  </si>
  <si>
    <t>2026 intake enrolled at the 1 October 2026 census</t>
  </si>
  <si>
    <t>Projected not enrolled at the 1 October 2027 census (nearest 250)</t>
  </si>
  <si>
    <t>Model sum of probabilities</t>
  </si>
  <si>
    <t>2026 entrants meeting no other entrant in two or more classes</t>
  </si>
  <si>
    <t>Earlier intakes</t>
  </si>
  <si>
    <t>Intake</t>
  </si>
  <si>
    <t>Entrants at census</t>
  </si>
  <si>
    <t>Not enrolled at next census</t>
  </si>
  <si>
    <t>Share</t>
  </si>
  <si>
    <t>Faculty</t>
  </si>
  <si>
    <t>Level</t>
  </si>
  <si>
    <t>30 students or fewer</t>
  </si>
  <si>
    <t>More than 30</t>
  </si>
  <si>
    <t>Groups</t>
  </si>
  <si>
    <t>Arts and Social Sciences</t>
  </si>
  <si>
    <t>200</t>
  </si>
  <si>
    <t>300 and above</t>
  </si>
  <si>
    <t>Business and Law</t>
  </si>
  <si>
    <t>Science</t>
  </si>
  <si>
    <t>Engineering and Computing</t>
  </si>
  <si>
    <t>Health Sciences</t>
  </si>
  <si>
    <t>Total</t>
  </si>
  <si>
    <t>Notes</t>
  </si>
  <si>
    <t>Definitions follow Continuing Enrolment Projection 2027: Conventions (Planning and Insight, 5 October 2026).</t>
  </si>
  <si>
    <t>Intake: first-time bachelor's entrants with an enrolled programme attempt at the 1 October census; entrants with credit are excluded. Approved leave counts as not enrolled.</t>
  </si>
  <si>
    <t>Earlier intakes: enrolment at the next census from the census history; the 2025 intake through the SIRIUS to ARC crosswalk.</t>
  </si>
  <si>
    <t>Projection: logistic model fitted on the 2019 to 2025 intakes (admissions attributes, week-6 progress check, faculty, and whether the entrant met 10 or more other entrants in two or more Semester 1 classes, the form with the lowest AIC), applied to the 2026 intake; reported to the nearest 250.</t>
  </si>
  <si>
    <t>Teaching groups, 200 level and above: each distinct set of active Semester 1 2026 classes meeting together in one room at one time is a group, so papers sharing only a lecture are the lecture and each workshop. A group's size is the students on its classes' lists who are enrolled at the 2026 census in the census history; places still held by students on approved leave or who left before the census are not counted.</t>
  </si>
  <si>
    <t>Sources: Registry census history and first-year cohort extracts; Admissions; Student Success week-6 progress check; Timetabling Semester 1 2026 timetable at the census; ARC class enrolments at the census.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</si>
</sst>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164" fontId="0" fillId="0" borderId="0" xfId="0" applyNumberFormat="1"/>
    <xf numFmtId="0" fontId="2" fillId="2" borderId="0" xfId="0" applyFont="1" applyFill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5A74-AB55-5332-B2BF-569FEE2FBC27}">
  <dimension ref="A1:D17"/>
  <sheetViews>
    <sheetView tabSelected="1" workbookViewId="0">
      <selection activeCell="A1" sqref="A1"/>
    </sheetView>
  </sheetViews>
  <sheetFormatPr defaultRowHeight="15" x14ac:dyDescent="0.25"/>
  <cols>
    <col min="1" max="1" width="62.7109375" customWidth="1"/>
    <col min="2" max="2" width="16.7109375" customWidth="1"/>
    <col min="3" max="3" width="16.7109375" customWidth="1"/>
    <col min="4" max="4" width="16.7109375" customWidth="1"/>
  </cols>
  <sheetData>
    <row r="1" spans="1:4" x14ac:dyDescent="0.25">
      <c r="A1" s="1" t="s">
        <v>0</v>
      </c>
    </row>
    <row r="2" spans="1:4" x14ac:dyDescent="0.25">
      <c r="A2" t="s">
        <v>1</v>
      </c>
    </row>
    <row r="4" spans="1:4" x14ac:dyDescent="0.25">
      <c r="A4" t="s">
        <v>2</v>
      </c>
      <c r="B4" s="2">
        <v>8659</v>
      </c>
    </row>
    <row r="5" spans="1:4" x14ac:dyDescent="0.25">
      <c r="A5" s="3" t="s">
        <v>3</v>
      </c>
      <c r="B5" s="4">
        <v>3250</v>
      </c>
    </row>
    <row r="6" spans="1:4" x14ac:dyDescent="0.25">
      <c r="A6" t="s">
        <v>4</v>
      </c>
      <c r="B6" s="5">
        <v>3253</v>
      </c>
    </row>
    <row r="7" spans="1:4" x14ac:dyDescent="0.25">
      <c r="A7" t="s">
        <v>5</v>
      </c>
      <c r="B7" s="2">
        <v>3778</v>
      </c>
    </row>
    <row r="9" spans="1:4" x14ac:dyDescent="0.25">
      <c r="A9" s="3" t="s">
        <v>6</v>
      </c>
    </row>
    <row r="10" spans="1:4" x14ac:dyDescent="0.25">
      <c r="A10" s="6" t="s">
        <v>7</v>
      </c>
      <c r="B10" s="6" t="s">
        <v>8</v>
      </c>
      <c r="C10" s="6" t="s">
        <v>9</v>
      </c>
      <c r="D10" s="6" t="s">
        <v>10</v>
      </c>
    </row>
    <row r="11" spans="1:4" x14ac:dyDescent="0.25">
      <c r="A11">
        <v>2019</v>
      </c>
      <c r="B11" s="2">
        <v>7900</v>
      </c>
      <c r="C11" s="2">
        <v>2022</v>
      </c>
      <c r="D11" s="7">
        <f>C11/B11</f>
        <v/>
      </c>
    </row>
    <row r="12" spans="1:4" x14ac:dyDescent="0.25">
      <c r="A12">
        <v>2020</v>
      </c>
      <c r="B12" s="2">
        <v>7983</v>
      </c>
      <c r="C12" s="2">
        <v>1991</v>
      </c>
      <c r="D12" s="7">
        <f>C12/B12</f>
        <v/>
      </c>
    </row>
    <row r="13" spans="1:4" x14ac:dyDescent="0.25">
      <c r="A13">
        <v>2021</v>
      </c>
      <c r="B13" s="2">
        <v>8067</v>
      </c>
      <c r="C13" s="2">
        <v>1974</v>
      </c>
      <c r="D13" s="7">
        <f>C13/B13</f>
        <v/>
      </c>
    </row>
    <row r="14" spans="1:4" x14ac:dyDescent="0.25">
      <c r="A14">
        <v>2022</v>
      </c>
      <c r="B14" s="2">
        <v>8151</v>
      </c>
      <c r="C14" s="2">
        <v>1970</v>
      </c>
      <c r="D14" s="7">
        <f>C14/B14</f>
        <v/>
      </c>
    </row>
    <row r="15" spans="1:4" x14ac:dyDescent="0.25">
      <c r="A15">
        <v>2023</v>
      </c>
      <c r="B15" s="2">
        <v>8237</v>
      </c>
      <c r="C15" s="2">
        <v>2020</v>
      </c>
      <c r="D15" s="7">
        <f>C15/B15</f>
        <v/>
      </c>
    </row>
    <row r="16" spans="1:4" x14ac:dyDescent="0.25">
      <c r="A16">
        <v>2024</v>
      </c>
      <c r="B16" s="2">
        <v>8324</v>
      </c>
      <c r="C16" s="2">
        <v>2050</v>
      </c>
      <c r="D16" s="7">
        <f>C16/B16</f>
        <v/>
      </c>
    </row>
    <row r="17" spans="1:4" x14ac:dyDescent="0.25">
      <c r="A17">
        <v>2025</v>
      </c>
      <c r="B17" s="2">
        <v>8411</v>
      </c>
      <c r="C17" s="2">
        <v>2058</v>
      </c>
      <c r="D17" s="7">
        <f>C17/B17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FF10-B17F-5622-AA27-A86A6F32C7FB}">
  <dimension ref="A1:E12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28.7109375" customWidth="1"/>
    <col min="2" max="2" width="15.7109375" customWidth="1"/>
    <col min="3" max="3" width="19.7109375" customWidth="1"/>
    <col min="4" max="4" width="19.7109375" customWidth="1"/>
    <col min="5" max="5" width="19.7109375" customWidth="1"/>
  </cols>
  <sheetData>
    <row r="1" spans="1:5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x14ac:dyDescent="0.25">
      <c r="A2" t="s">
        <v>16</v>
      </c>
      <c r="B2" t="s">
        <v>17</v>
      </c>
      <c r="C2">
        <v>14</v>
      </c>
      <c r="D2">
        <v>40</v>
      </c>
      <c r="E2">
        <f>C2+D2</f>
        <v/>
      </c>
    </row>
    <row r="3" spans="1:5" x14ac:dyDescent="0.25">
      <c r="A3" t="s">
        <v>16</v>
      </c>
      <c r="B3" t="s">
        <v>18</v>
      </c>
      <c r="C3">
        <v>20</v>
      </c>
      <c r="D3">
        <v>45</v>
      </c>
      <c r="E3">
        <f>C3+D3</f>
        <v/>
      </c>
    </row>
    <row r="4" spans="1:5" x14ac:dyDescent="0.25">
      <c r="A4" t="s">
        <v>19</v>
      </c>
      <c r="B4" t="s">
        <v>17</v>
      </c>
      <c r="C4">
        <v>15</v>
      </c>
      <c r="D4">
        <v>39</v>
      </c>
      <c r="E4">
        <f>C4+D4</f>
        <v/>
      </c>
    </row>
    <row r="5" spans="1:5" x14ac:dyDescent="0.25">
      <c r="A5" t="s">
        <v>19</v>
      </c>
      <c r="B5" t="s">
        <v>18</v>
      </c>
      <c r="C5">
        <v>22</v>
      </c>
      <c r="D5">
        <v>46</v>
      </c>
      <c r="E5">
        <f>C5+D5</f>
        <v/>
      </c>
    </row>
    <row r="6" spans="1:5" x14ac:dyDescent="0.25">
      <c r="A6" t="s">
        <v>20</v>
      </c>
      <c r="B6" t="s">
        <v>17</v>
      </c>
      <c r="C6">
        <v>15</v>
      </c>
      <c r="D6">
        <v>39</v>
      </c>
      <c r="E6">
        <f>C6+D6</f>
        <v/>
      </c>
    </row>
    <row r="7" spans="1:5" x14ac:dyDescent="0.25">
      <c r="A7" t="s">
        <v>20</v>
      </c>
      <c r="B7" t="s">
        <v>18</v>
      </c>
      <c r="C7">
        <v>22</v>
      </c>
      <c r="D7">
        <v>38</v>
      </c>
      <c r="E7">
        <f>C7+D7</f>
        <v/>
      </c>
    </row>
    <row r="8" spans="1:5" x14ac:dyDescent="0.25">
      <c r="A8" t="s">
        <v>21</v>
      </c>
      <c r="B8" t="s">
        <v>17</v>
      </c>
      <c r="C8">
        <v>18</v>
      </c>
      <c r="D8">
        <v>33</v>
      </c>
      <c r="E8">
        <f>C8+D8</f>
        <v/>
      </c>
    </row>
    <row r="9" spans="1:5" x14ac:dyDescent="0.25">
      <c r="A9" t="s">
        <v>21</v>
      </c>
      <c r="B9" t="s">
        <v>18</v>
      </c>
      <c r="C9">
        <v>25</v>
      </c>
      <c r="D9">
        <v>34</v>
      </c>
      <c r="E9">
        <f>C9+D9</f>
        <v/>
      </c>
    </row>
    <row r="10" spans="1:5" x14ac:dyDescent="0.25">
      <c r="A10" t="s">
        <v>22</v>
      </c>
      <c r="B10" t="s">
        <v>17</v>
      </c>
      <c r="C10">
        <v>17</v>
      </c>
      <c r="D10">
        <v>36</v>
      </c>
      <c r="E10">
        <f>C10+D10</f>
        <v/>
      </c>
    </row>
    <row r="11" spans="1:5" x14ac:dyDescent="0.25">
      <c r="A11" t="s">
        <v>22</v>
      </c>
      <c r="B11" t="s">
        <v>18</v>
      </c>
      <c r="C11">
        <v>25</v>
      </c>
      <c r="D11">
        <v>32</v>
      </c>
      <c r="E11">
        <f>C11+D11</f>
        <v/>
      </c>
    </row>
    <row r="12" spans="1:5" x14ac:dyDescent="0.25">
      <c r="A12" s="3" t="s">
        <v>23</v>
      </c>
      <c r="C12" s="3">
        <f>SUM(C2:C11)</f>
        <v/>
      </c>
      <c r="D12" s="3">
        <f>SUM(D2:D11)</f>
        <v/>
      </c>
      <c r="E12" s="3">
        <f>SUM(E2:E11)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F1D2-E066-535A-B29C-44A0B88C07BD}">
  <dimension ref="A1:A8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s="3" t="s">
        <v>24</v>
      </c>
    </row>
    <row r="3" spans="1:1" x14ac:dyDescent="0.25">
      <c r="A3" s="8" t="s">
        <v>25</v>
      </c>
    </row>
    <row r="4" spans="1:1" x14ac:dyDescent="0.25">
      <c r="A4" s="8" t="s">
        <v>26</v>
      </c>
    </row>
    <row r="5" spans="1:1" x14ac:dyDescent="0.25">
      <c r="A5" s="8" t="s">
        <v>27</v>
      </c>
    </row>
    <row r="6" spans="1:1" x14ac:dyDescent="0.25">
      <c r="A6" s="8" t="s">
        <v>28</v>
      </c>
    </row>
    <row r="7" spans="1:1" x14ac:dyDescent="0.25">
      <c r="A7" s="8" t="s">
        <v>29</v>
      </c>
    </row>
    <row r="8" spans="1:1" x14ac:dyDescent="0.25">
      <c r="A8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Projection</vt:lpstr>
      <vt:lpstr>Teaching groups S1 2026</vt:lpstr>
      <vt:lpstr>Notes</vt:lpstr>
    </vt:vector>
  </TitlesOfParts>
  <Company>Corriemoor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Cillian Coholan</dc:creator>
  <cp:lastModifiedBy>Cillian Coholan</cp:lastModifiedBy>
  <dcterms:created xsi:type="dcterms:W3CDTF">2026-10-15T22:05:00Z</dcterms:created>
  <dcterms:modified xsi:type="dcterms:W3CDTF">2026-10-16T03:31:00Z</dcterms:modified>
</cp:coreProperties>
</file>