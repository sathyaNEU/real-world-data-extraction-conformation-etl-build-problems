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24226"/>
  <bookViews>
    <workbookView xWindow="-110" yWindow="-110" windowWidth="25820" windowHeight="15500" xr2:uid="{9670C397-C993-5217-B239-055284C27863}"/>
  </bookViews>
  <sheets>
    <sheet name="Projection" sheetId="1" r:id="rId1"/>
    <sheet name="Teaching groups S1 2026" sheetId="2" r:id="rId2"/>
    <sheet name="Notes" sheetId="3" r:id="rId3"/>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<sst xmlns="http://schemas.openxmlformats.org/spreadsheetml/2006/main" count="44" uniqueCount="31">
  <si>
    <t>Continuing enrolment projection 2027: first-year intake</t>
  </si>
  <si>
    <t>Planning and Insight, prepared 16 October 2026 from the 1 October 2026 census</t>
  </si>
  <si>
    <t>2026 intake enrolled at the 1 October 2026 census</t>
  </si>
  <si>
    <t>Projected not enrolled at the 1 October 2027 census (nearest 250)</t>
  </si>
  <si>
    <t>Model sum of probabilities</t>
  </si>
  <si>
    <t>2026 entrants meeting no other entrant in two or more classes</t>
  </si>
  <si>
    <t>Earlier intakes</t>
  </si>
  <si>
    <t>Intake</t>
  </si>
  <si>
    <t>Entrants at census</t>
  </si>
  <si>
    <t>Not enrolled at next census</t>
  </si>
  <si>
    <t>Share</t>
  </si>
  <si>
    <t>Faculty</t>
  </si>
  <si>
    <t>Level</t>
  </si>
  <si>
    <t>30 students or fewer</t>
  </si>
  <si>
    <t>More than 30</t>
  </si>
  <si>
    <t>Groups</t>
  </si>
  <si>
    <t>Arts and Social Sciences</t>
  </si>
  <si>
    <t>200</t>
  </si>
  <si>
    <t>300 and above</t>
  </si>
  <si>
    <t>Business and Law</t>
  </si>
  <si>
    <t>Science</t>
  </si>
  <si>
    <t>Engineering and Computing</t>
  </si>
  <si>
    <t>Health Sciences</t>
  </si>
  <si>
    <t>Total</t>
  </si>
  <si>
    <t>Notes</t>
  </si>
  <si>
    <t>Definitions follow Continuing Enrolment Projection 2027: Conventions (Planning and Insight, 5 October 2026).</t>
  </si>
  <si>
    <t>Intake: first-time bachelor's entrants with an enrolled programme attempt at the 1 October census; entrants with credit are excluded. Approved leave counts as not enrolled.</t>
  </si>
  <si>
    <t>Earlier intakes: enrolment at the next census from the census history; the 2025 intake through the SIRIUS to ARC crosswalk.</t>
  </si>
  <si>
    <t>Projection: logistic model fitted on the 2019 to 2025 intakes (admissions attributes, week-6 progress check, faculty, and whether the entrant met 10 or more other entrants in two or more Semester 1 classes, the form with the lowest AIC), applied to the 2026 intake; reported to the nearest 250.</t>
  </si>
  <si>
    <t>Teaching groups, 200 level and above: active Semester 1 2026 classes meeting in one room, on one day, at one start, over the same teaching weeks count as one group. Where ARC Scheduling shows the same enrolment on each class of a group, more than the room seats when added, that is the combination's enrolment and is counted once.</t>
  </si>
  <si>
    <t>Sources: Registry census history and first-year cohort extracts; Admissions; Student Success week-6 progress check; Timetabling Semester 1 2026 timetable at the census.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</si>
</sst>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D9E1F2"/>
        <bgColor indexed="6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3" fontId="0" fillId="0" borderId="0" xfId="0" applyNumberFormat="1"/>
    <xf numFmtId="0" fontId="2" fillId="0" borderId="0" xfId="0" applyFont="1"/>
    <xf numFmtId="3" fontId="2" fillId="0" borderId="0" xfId="0" applyNumberFormat="1" applyFont="1"/>
    <xf numFmtId="164" fontId="0" fillId="0" borderId="0" xfId="0" applyNumberFormat="1"/>
    <xf numFmtId="0" fontId="2" fillId="2" borderId="0" xfId="0" applyFont="1" applyFill="1"/>
    <xf numFmtId="165"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C5A74-AB55-5332-B2BF-569FEE2FBC27}">
  <dimension ref="A1:D17"/>
  <sheetViews>
    <sheetView tabSelected="1" workbookViewId="0">
      <selection activeCell="A1" sqref="A1"/>
    </sheetView>
  </sheetViews>
  <sheetFormatPr defaultRowHeight="15" x14ac:dyDescent="0.25"/>
  <cols>
    <col min="1" max="1" width="62.7109375" customWidth="1"/>
    <col min="2" max="2" width="16.7109375" customWidth="1"/>
    <col min="3" max="3" width="16.7109375" customWidth="1"/>
    <col min="4" max="4" width="16.7109375" customWidth="1"/>
  </cols>
  <sheetData>
    <row r="1" spans="1:4" x14ac:dyDescent="0.25">
      <c r="A1" s="1" t="s">
        <v>0</v>
      </c>
    </row>
    <row r="2" spans="1:4" x14ac:dyDescent="0.25">
      <c r="A2" t="s">
        <v>1</v>
      </c>
    </row>
    <row r="4" spans="1:4" x14ac:dyDescent="0.25">
      <c r="A4" t="s">
        <v>2</v>
      </c>
      <c r="B4" s="2">
        <v>8659</v>
      </c>
    </row>
    <row r="5" spans="1:4" x14ac:dyDescent="0.25">
      <c r="A5" s="3" t="s">
        <v>3</v>
      </c>
      <c r="B5" s="4">
        <v>3250</v>
      </c>
    </row>
    <row r="6" spans="1:4" x14ac:dyDescent="0.25">
      <c r="A6" t="s">
        <v>4</v>
      </c>
      <c r="B6" s="5">
        <v>3253</v>
      </c>
    </row>
    <row r="7" spans="1:4" x14ac:dyDescent="0.25">
      <c r="A7" t="s">
        <v>5</v>
      </c>
      <c r="B7" s="2">
        <v>3778</v>
      </c>
    </row>
    <row r="9" spans="1:4" x14ac:dyDescent="0.25">
      <c r="A9" s="3" t="s">
        <v>6</v>
      </c>
    </row>
    <row r="10" spans="1:4" x14ac:dyDescent="0.25">
      <c r="A10" s="6" t="s">
        <v>7</v>
      </c>
      <c r="B10" s="6" t="s">
        <v>8</v>
      </c>
      <c r="C10" s="6" t="s">
        <v>9</v>
      </c>
      <c r="D10" s="6" t="s">
        <v>10</v>
      </c>
    </row>
    <row r="11" spans="1:4" x14ac:dyDescent="0.25">
      <c r="A11">
        <v>2019</v>
      </c>
      <c r="B11" s="2">
        <v>7900</v>
      </c>
      <c r="C11" s="2">
        <v>2022</v>
      </c>
      <c r="D11" s="7">
        <f>C11/B11</f>
        <v/>
      </c>
    </row>
    <row r="12" spans="1:4" x14ac:dyDescent="0.25">
      <c r="A12">
        <v>2020</v>
      </c>
      <c r="B12" s="2">
        <v>7983</v>
      </c>
      <c r="C12" s="2">
        <v>1991</v>
      </c>
      <c r="D12" s="7">
        <f>C12/B12</f>
        <v/>
      </c>
    </row>
    <row r="13" spans="1:4" x14ac:dyDescent="0.25">
      <c r="A13">
        <v>2021</v>
      </c>
      <c r="B13" s="2">
        <v>8067</v>
      </c>
      <c r="C13" s="2">
        <v>1974</v>
      </c>
      <c r="D13" s="7">
        <f>C13/B13</f>
        <v/>
      </c>
    </row>
    <row r="14" spans="1:4" x14ac:dyDescent="0.25">
      <c r="A14">
        <v>2022</v>
      </c>
      <c r="B14" s="2">
        <v>8151</v>
      </c>
      <c r="C14" s="2">
        <v>1970</v>
      </c>
      <c r="D14" s="7">
        <f>C14/B14</f>
        <v/>
      </c>
    </row>
    <row r="15" spans="1:4" x14ac:dyDescent="0.25">
      <c r="A15">
        <v>2023</v>
      </c>
      <c r="B15" s="2">
        <v>8237</v>
      </c>
      <c r="C15" s="2">
        <v>2020</v>
      </c>
      <c r="D15" s="7">
        <f>C15/B15</f>
        <v/>
      </c>
    </row>
    <row r="16" spans="1:4" x14ac:dyDescent="0.25">
      <c r="A16">
        <v>2024</v>
      </c>
      <c r="B16" s="2">
        <v>8324</v>
      </c>
      <c r="C16" s="2">
        <v>2050</v>
      </c>
      <c r="D16" s="7">
        <f>C16/B16</f>
        <v/>
      </c>
    </row>
    <row r="17" spans="1:4" x14ac:dyDescent="0.25">
      <c r="A17">
        <v>2025</v>
      </c>
      <c r="B17" s="2">
        <v>8411</v>
      </c>
      <c r="C17" s="2">
        <v>2058</v>
      </c>
      <c r="D17" s="7">
        <f>C17/B17</f>
        <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8FF10-B17F-5622-AA27-A86A6F32C7FB}">
  <dimension ref="A1:E12"/>
  <sheetViews>
    <sheetView workbookViewId="0">
      <pane ySplit="1" topLeftCell="A2" activePane="bottomLeft" state="frozen"/>
      <selection pane="bottomLeft" activeCell="A1" sqref="A1"/>
    </sheetView>
  </sheetViews>
  <sheetFormatPr defaultRowHeight="15" x14ac:dyDescent="0.25"/>
  <cols>
    <col min="1" max="1" width="28.7109375" customWidth="1"/>
    <col min="2" max="2" width="15.7109375" customWidth="1"/>
    <col min="3" max="3" width="19.7109375" customWidth="1"/>
    <col min="4" max="4" width="19.7109375" customWidth="1"/>
    <col min="5" max="5" width="19.7109375" customWidth="1"/>
  </cols>
  <sheetData>
    <row r="1" spans="1:5" x14ac:dyDescent="0.25">
      <c r="A1" s="6" t="s">
        <v>11</v>
      </c>
      <c r="B1" s="6" t="s">
        <v>12</v>
      </c>
      <c r="C1" s="6" t="s">
        <v>13</v>
      </c>
      <c r="D1" s="6" t="s">
        <v>14</v>
      </c>
      <c r="E1" s="6" t="s">
        <v>15</v>
      </c>
    </row>
    <row r="2" spans="1:5" x14ac:dyDescent="0.25">
      <c r="A2" t="s">
        <v>16</v>
      </c>
      <c r="B2" t="s">
        <v>17</v>
      </c>
      <c r="C2">
        <v>11</v>
      </c>
      <c r="D2">
        <v>39</v>
      </c>
      <c r="E2">
        <f>C2+D2</f>
        <v/>
      </c>
    </row>
    <row r="3" spans="1:5" x14ac:dyDescent="0.25">
      <c r="A3" t="s">
        <v>16</v>
      </c>
      <c r="B3" t="s">
        <v>18</v>
      </c>
      <c r="C3">
        <v>16</v>
      </c>
      <c r="D3">
        <v>45</v>
      </c>
      <c r="E3">
        <f>C3+D3</f>
        <v/>
      </c>
    </row>
    <row r="4" spans="1:5" x14ac:dyDescent="0.25">
      <c r="A4" t="s">
        <v>19</v>
      </c>
      <c r="B4" t="s">
        <v>17</v>
      </c>
      <c r="C4">
        <v>10</v>
      </c>
      <c r="D4">
        <v>40</v>
      </c>
      <c r="E4">
        <f>C4+D4</f>
        <v/>
      </c>
    </row>
    <row r="5" spans="1:5" x14ac:dyDescent="0.25">
      <c r="A5" t="s">
        <v>19</v>
      </c>
      <c r="B5" t="s">
        <v>18</v>
      </c>
      <c r="C5">
        <v>19</v>
      </c>
      <c r="D5">
        <v>45</v>
      </c>
      <c r="E5">
        <f>C5+D5</f>
        <v/>
      </c>
    </row>
    <row r="6" spans="1:5" x14ac:dyDescent="0.25">
      <c r="A6" t="s">
        <v>20</v>
      </c>
      <c r="B6" t="s">
        <v>17</v>
      </c>
      <c r="C6">
        <v>11</v>
      </c>
      <c r="D6">
        <v>39</v>
      </c>
      <c r="E6">
        <f>C6+D6</f>
        <v/>
      </c>
    </row>
    <row r="7" spans="1:5" x14ac:dyDescent="0.25">
      <c r="A7" t="s">
        <v>20</v>
      </c>
      <c r="B7" t="s">
        <v>18</v>
      </c>
      <c r="C7">
        <v>18</v>
      </c>
      <c r="D7">
        <v>38</v>
      </c>
      <c r="E7">
        <f>C7+D7</f>
        <v/>
      </c>
    </row>
    <row r="8" spans="1:5" x14ac:dyDescent="0.25">
      <c r="A8" t="s">
        <v>21</v>
      </c>
      <c r="B8" t="s">
        <v>17</v>
      </c>
      <c r="C8">
        <v>15</v>
      </c>
      <c r="D8">
        <v>32</v>
      </c>
      <c r="E8">
        <f>C8+D8</f>
        <v/>
      </c>
    </row>
    <row r="9" spans="1:5" x14ac:dyDescent="0.25">
      <c r="A9" t="s">
        <v>21</v>
      </c>
      <c r="B9" t="s">
        <v>18</v>
      </c>
      <c r="C9">
        <v>21</v>
      </c>
      <c r="D9">
        <v>34</v>
      </c>
      <c r="E9">
        <f>C9+D9</f>
        <v/>
      </c>
    </row>
    <row r="10" spans="1:5" x14ac:dyDescent="0.25">
      <c r="A10" t="s">
        <v>22</v>
      </c>
      <c r="B10" t="s">
        <v>17</v>
      </c>
      <c r="C10">
        <v>13</v>
      </c>
      <c r="D10">
        <v>36</v>
      </c>
      <c r="E10">
        <f>C10+D10</f>
        <v/>
      </c>
    </row>
    <row r="11" spans="1:5" x14ac:dyDescent="0.25">
      <c r="A11" t="s">
        <v>22</v>
      </c>
      <c r="B11" t="s">
        <v>18</v>
      </c>
      <c r="C11">
        <v>21</v>
      </c>
      <c r="D11">
        <v>32</v>
      </c>
      <c r="E11">
        <f>C11+D11</f>
        <v/>
      </c>
    </row>
    <row r="12" spans="1:5" x14ac:dyDescent="0.25">
      <c r="A12" s="3" t="s">
        <v>23</v>
      </c>
      <c r="C12" s="3">
        <f>SUM(C2:C11)</f>
        <v/>
      </c>
      <c r="D12" s="3">
        <f>SUM(D2:D11)</f>
        <v/>
      </c>
      <c r="E12" s="3">
        <f>SUM(E2:E11)</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4F1D2-E066-535A-B29C-44A0B88C07BD}">
  <dimension ref="A1:A8"/>
  <sheetViews>
    <sheetView workbookViewId="0">
      <selection activeCell="A1" sqref="A1"/>
    </sheetView>
  </sheetViews>
  <sheetFormatPr defaultRowHeight="15" x14ac:dyDescent="0.25"/>
  <cols>
    <col min="1" max="1" width="110.7109375" customWidth="1"/>
  </cols>
  <sheetData>
    <row r="1" spans="1:1" x14ac:dyDescent="0.25">
      <c r="A1" s="3" t="s">
        <v>24</v>
      </c>
    </row>
    <row r="3" spans="1:1" x14ac:dyDescent="0.25">
      <c r="A3" s="8" t="s">
        <v>25</v>
      </c>
    </row>
    <row r="4" spans="1:1" x14ac:dyDescent="0.25">
      <c r="A4" s="8" t="s">
        <v>26</v>
      </c>
    </row>
    <row r="5" spans="1:1" x14ac:dyDescent="0.25">
      <c r="A5" s="8" t="s">
        <v>27</v>
      </c>
    </row>
    <row r="6" spans="1:1" x14ac:dyDescent="0.25">
      <c r="A6" s="8" t="s">
        <v>28</v>
      </c>
    </row>
    <row r="7" spans="1:1" x14ac:dyDescent="0.25">
      <c r="A7" s="8" t="s">
        <v>29</v>
      </c>
    </row>
    <row r="8" spans="1:1" x14ac:dyDescent="0.25">
      <c r="A8" s="8" t="s">
        <v>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Projection</vt:lpstr>
      <vt:lpstr>Teaching groups S1 2026</vt:lpstr>
      <vt:lpstr>Notes</vt:lpstr>
    </vt:vector>
  </TitlesOfParts>
  <Company>Corriemoor University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Cillian Coholan</dc:creator>
  <cp:lastModifiedBy>Cillian Coholan</cp:lastModifiedBy>
  <dcterms:created xsi:type="dcterms:W3CDTF">2026-10-15T22:05:00Z</dcterms:created>
  <dcterms:modified xsi:type="dcterms:W3CDTF">2026-10-16T03:31:00Z</dcterms:modified>
</cp:coreProperties>
</file>