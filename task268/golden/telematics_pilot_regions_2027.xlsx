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D4B25DFE-E8B9-5058-A3B0-81A243C25FA5}"/>
  </bookViews>
  <sheets>
    <sheet name="Frequency 2025" sheetId="1" r:id="rId1"/>
    <sheet name="Development" sheetId="2" r:id="rId2"/>
    <sheet name="Back-test 2022" sheetId="3" r:id="rId3"/>
    <sheet name="Cars on cove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<sst xmlns="http://schemas.openxmlformats.org/spreadsheetml/2006/main" count="78" uniqueCount="57">
  <si>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Private-car claim frequency, accident year 2025, by sales region</t>
  </si>
  <si>
    <t>Claims to 30 September 2026 and claims not yet notified (Motor Reserving Standard v4, development by notifying route); per 100 car-years earned in 2025. Pilot terms of 6 October 2026.</t>
  </si>
  <si>
    <t>Sales region</t>
  </si>
  <si>
    <t>Earned car-years 2025</t>
  </si>
  <si>
    <t>Claims notified to 30 Sep 2026</t>
  </si>
  <si>
    <t>Claims not yet notified (estimated)</t>
  </si>
  <si>
    <t>Claims, accident year 2025</t>
  </si>
  <si>
    <t>Frequency per 100 car-years</t>
  </si>
  <si>
    <t>Rank</t>
  </si>
  <si>
    <t>Pilot region</t>
  </si>
  <si>
    <t>Mersey</t>
  </si>
  <si>
    <t>Yes</t>
  </si>
  <si>
    <t>Pennine</t>
  </si>
  <si>
    <t>Severn</t>
  </si>
  <si>
    <t>No</t>
  </si>
  <si>
    <t>Wessex</t>
  </si>
  <si>
    <t>Fenland</t>
  </si>
  <si>
    <t>All regions</t>
  </si>
  <si>
    <t>Gap, second region to third (Pennine to Severn), per 100 car-years</t>
  </si>
  <si>
    <t>Ranked on unrounded frequencies; the gap is taken before rounding.</t>
  </si>
  <si>
    <t>Development factors by notifying route, whole private-car book</t>
  </si>
  <si>
    <t>Closed accident years 2019 to 2022: claims at 21 months (30 September of the following year) and final.</t>
  </si>
  <si>
    <t>Notifying route</t>
  </si>
  <si>
    <t>Claims at 21 months</t>
  </si>
  <si>
    <t>Final claims</t>
  </si>
  <si>
    <t>Factor, 21 months to final</t>
  </si>
  <si>
    <t>2025 notified, Mersey</t>
  </si>
  <si>
    <t>2025 notified, Pennine</t>
  </si>
  <si>
    <t>2025 notified, Wessex</t>
  </si>
  <si>
    <t>2025 notified, Fenland</t>
  </si>
  <si>
    <t>2025 notified, Severn</t>
  </si>
  <si>
    <t>Policyholder</t>
  </si>
  <si>
    <t>Third party</t>
  </si>
  <si>
    <t>Third-party insurer</t>
  </si>
  <si>
    <t>Solicitor practice</t>
  </si>
  <si>
    <t>Claims management company</t>
  </si>
  <si>
    <t>The notifying route is the notified-by field, with claims a representative notified split by the firm type on claimant_representatives.csv.</t>
  </si>
  <si>
    <t>Standard 3.3: each development re-run on accident year 2022</t>
  </si>
  <si>
    <t>From 30 September 2023 with 2019 to 2021; estimate against the final count, per cent. Used only within two per cent in every region.</t>
  </si>
  <si>
    <t>Development</t>
  </si>
  <si>
    <t>Largest miss</t>
  </si>
  <si>
    <t>Passes</t>
  </si>
  <si>
    <t>Whole book, pooled</t>
  </si>
  <si>
    <t>By head of claim</t>
  </si>
  <si>
    <t>By notified-by field</t>
  </si>
  <si>
    <t>By representative</t>
  </si>
  <si>
    <t>By notifying route</t>
  </si>
  <si>
    <t>Claims-management companies against the rest</t>
  </si>
  <si>
    <t>By notifying route and head</t>
  </si>
  <si>
    <t>Final 2022 counts: Mersey 5,352, Pennine 2,842, Wessex 3,062, Fenland 1,369, Severn 3,668</t>
  </si>
  <si>
    <t>Private cars on cover at 30 September 2026, for the Brackwell order</t>
  </si>
  <si>
    <t>Risk postcode district and cover as at 30 September 2026 (in-force file with the mid-term changes effective on or before that date).</t>
  </si>
  <si>
    <t>COMP</t>
  </si>
  <si>
    <t>TPFT</t>
  </si>
  <si>
    <t>TPO</t>
  </si>
  <si>
    <t>All private cars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</si>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</sst>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+0.00%;-0.00%"/>
  </numFmts>
  <fonts count="7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A"/>
        <bgColor indexed="64"/>
      </patternFill>
    </fill>
    <fill>
      <patternFill patternType="solid">
        <fgColor rgb="FFE3EF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4" fontId="5" fillId="3" borderId="0" xfId="0" applyNumberFormat="1" applyFont="1" applyFill="1"/>
    <xf numFmtId="3" fontId="5" fillId="3" borderId="0" xfId="0" applyNumberFormat="1" applyFont="1" applyFill="1"/>
    <xf numFmtId="164" fontId="4" fillId="3" borderId="0" xfId="0" applyNumberFormat="1" applyFont="1" applyFill="1"/>
    <xf numFmtId="0" fontId="5" fillId="3" borderId="0" xfId="0" applyFont="1" applyFill="1"/>
    <xf numFmtId="0" fontId="5" fillId="0" borderId="0" xfId="0" applyFont="1"/>
    <xf numFmtId="4" fontId="5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0" fontId="4" fillId="0" borderId="0" xfId="0" applyFont="1"/>
    <xf numFmtId="4" fontId="4" fillId="0" borderId="1" xfId="0" applyNumberFormat="1" applyFont="1"/>
    <xf numFmtId="3" fontId="4" fillId="0" borderId="1" xfId="0" applyNumberFormat="1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3" borderId="0" xfId="0" applyFill="1"/>
    <xf numFmtId="166" fontId="0" fillId="3" borderId="0" xfId="0" applyNumberFormat="1" applyFill="1"/>
    <xf numFmtId="10" fontId="0" fillId="3" borderId="0" xfId="0" applyNumberForma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DC7D-3BA8-5EAC-B0C1-52DD0A767703}">
  <dimension ref="A1:H1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6.7109375" customWidth="1"/>
    <col min="2" max="2" width="14.7109375" customWidth="1"/>
    <col min="3" max="3" width="16.7109375" customWidth="1"/>
    <col min="4" max="4" width="18.7109375" customWidth="1"/>
    <col min="5" max="5" width="15.7109375" customWidth="1"/>
    <col min="6" max="6" width="15.7109375" customWidth="1"/>
    <col min="7" max="7" width="7.7109375" customWidth="1"/>
    <col min="8" max="8" width="8.7109375" customWidth="1"/>
  </cols>
  <sheetData>
    <row r="1" spans="1:8" x14ac:dyDescent="0.25">
      <c r="A1" s="1" t="s">
        <v>0</v>
      </c>
    </row>
    <row r="2" spans="1:8" x14ac:dyDescent="0.25">
      <c r="A2" s="2" t="s">
        <v>1</v>
      </c>
    </row>
    <row r="4" spans="1:8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>
        <v>61924.81</v>
      </c>
      <c r="C5" s="6">
        <v>5297</v>
      </c>
      <c r="D5" s="6">
        <v>219.7464296752123</v>
      </c>
      <c r="E5" s="6">
        <v>5516.746429675212</v>
      </c>
      <c r="F5" s="7">
        <v>8.908782166106302</v>
      </c>
      <c r="G5" s="8">
        <v>1</v>
      </c>
      <c r="H5" s="4" t="s">
        <v>11</v>
      </c>
    </row>
    <row r="6" spans="1:8" x14ac:dyDescent="0.25">
      <c r="A6" s="4" t="s">
        <v>12</v>
      </c>
      <c r="B6" s="5">
        <v>40568.81</v>
      </c>
      <c r="C6" s="6">
        <v>2991</v>
      </c>
      <c r="D6" s="6">
        <v>335.8226040937425</v>
      </c>
      <c r="E6" s="6">
        <v>3326.822604093742</v>
      </c>
      <c r="F6" s="7">
        <v>8.200444144390094</v>
      </c>
      <c r="G6" s="8">
        <v>2</v>
      </c>
      <c r="H6" s="4" t="s">
        <v>11</v>
      </c>
    </row>
    <row r="7" spans="1:8" x14ac:dyDescent="0.25">
      <c r="A7" s="9" t="s">
        <v>13</v>
      </c>
      <c r="B7" s="10">
        <v>47215.47</v>
      </c>
      <c r="C7" s="11">
        <v>3713</v>
      </c>
      <c r="D7" s="11">
        <v>72.14527588295869</v>
      </c>
      <c r="E7" s="11">
        <v>3785.145275882959</v>
      </c>
      <c r="F7" s="12">
        <v>8.016748061351414</v>
      </c>
      <c r="G7" s="9">
        <v>3</v>
      </c>
      <c r="H7" s="9" t="s">
        <v>14</v>
      </c>
    </row>
    <row r="8" spans="1:8" x14ac:dyDescent="0.25">
      <c r="A8" s="9" t="s">
        <v>15</v>
      </c>
      <c r="B8" s="10">
        <v>38108.96</v>
      </c>
      <c r="C8" s="11">
        <v>2681</v>
      </c>
      <c r="D8" s="11">
        <v>101.1648533667499</v>
      </c>
      <c r="E8" s="11">
        <v>2782.16485336675</v>
      </c>
      <c r="F8" s="12">
        <v>7.300553080867989</v>
      </c>
      <c r="G8" s="9">
        <v>4</v>
      </c>
      <c r="H8" s="9" t="s">
        <v>14</v>
      </c>
    </row>
    <row r="9" spans="1:8" x14ac:dyDescent="0.25">
      <c r="A9" s="9" t="s">
        <v>16</v>
      </c>
      <c r="B9" s="10">
        <v>23927.05</v>
      </c>
      <c r="C9" s="11">
        <v>1374</v>
      </c>
      <c r="D9" s="11">
        <v>34.54712804790142</v>
      </c>
      <c r="E9" s="11">
        <v>1408.547128047901</v>
      </c>
      <c r="F9" s="12">
        <v>5.886839907334593</v>
      </c>
      <c r="G9" s="9">
        <v>5</v>
      </c>
      <c r="H9" s="9" t="s">
        <v>14</v>
      </c>
    </row>
    <row r="10" spans="1:8" x14ac:dyDescent="0.25">
      <c r="A10" s="13" t="s">
        <v>17</v>
      </c>
      <c r="B10" s="14">
        <f>SUM(B5:B9)</f>
        <v/>
      </c>
      <c r="C10" s="15">
        <f>SUM(C5:C9)</f>
        <v/>
      </c>
      <c r="D10" s="15">
        <f>SUM(D5:D9)</f>
        <v/>
      </c>
      <c r="E10" s="15">
        <f>SUM(E5:E9)</f>
        <v/>
      </c>
      <c r="F10" s="16">
        <f>E10/B10*100</f>
        <v/>
      </c>
    </row>
    <row r="12" spans="1:8" x14ac:dyDescent="0.25">
      <c r="A12" t="s">
        <v>18</v>
      </c>
      <c r="F12" s="16">
        <v>0.1836960830386793</v>
      </c>
    </row>
    <row r="14" spans="1:8" x14ac:dyDescent="0.25">
      <c r="A14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2995-52C3-543D-84A8-A083796C02B4}">
  <dimension ref="A1:I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26.7109375" customWidth="1"/>
    <col min="2" max="2" width="13.7109375" customWidth="1"/>
    <col min="3" max="3" width="12.7109375" customWidth="1"/>
    <col min="4" max="4" width="14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</cols>
  <sheetData>
    <row r="1" spans="1:9" x14ac:dyDescent="0.25">
      <c r="A1" s="1" t="s">
        <v>20</v>
      </c>
    </row>
    <row r="2" spans="1:9" x14ac:dyDescent="0.25">
      <c r="A2" s="2" t="s">
        <v>21</v>
      </c>
    </row>
    <row r="4" spans="1:9" ht="30" customHeigh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</row>
    <row r="5" spans="1:9" x14ac:dyDescent="0.25">
      <c r="A5" t="s">
        <v>31</v>
      </c>
      <c r="B5" s="17">
        <v>45973</v>
      </c>
      <c r="C5" s="17">
        <v>45974</v>
      </c>
      <c r="D5" s="18">
        <f>C5/B5</f>
        <v/>
      </c>
      <c r="E5" s="17">
        <v>4328</v>
      </c>
      <c r="F5" s="17">
        <v>2336</v>
      </c>
      <c r="G5" s="17">
        <v>2227</v>
      </c>
      <c r="H5" s="17">
        <v>1157</v>
      </c>
      <c r="I5" s="17">
        <v>3054</v>
      </c>
    </row>
    <row r="6" spans="1:9" x14ac:dyDescent="0.25">
      <c r="A6" t="s">
        <v>32</v>
      </c>
      <c r="B6" s="17">
        <v>2132</v>
      </c>
      <c r="C6" s="17">
        <v>2132</v>
      </c>
      <c r="D6" s="18">
        <f>C6/B6</f>
        <v/>
      </c>
      <c r="E6" s="17">
        <v>213</v>
      </c>
      <c r="F6" s="17">
        <v>134</v>
      </c>
      <c r="G6" s="17">
        <v>100</v>
      </c>
      <c r="H6" s="17">
        <v>40</v>
      </c>
      <c r="I6" s="17">
        <v>176</v>
      </c>
    </row>
    <row r="7" spans="1:9" x14ac:dyDescent="0.25">
      <c r="A7" t="s">
        <v>33</v>
      </c>
      <c r="B7" s="17">
        <v>5689</v>
      </c>
      <c r="C7" s="17">
        <v>5689</v>
      </c>
      <c r="D7" s="18">
        <f>C7/B7</f>
        <v/>
      </c>
      <c r="E7" s="17">
        <v>519</v>
      </c>
      <c r="F7" s="17">
        <v>310</v>
      </c>
      <c r="G7" s="17">
        <v>235</v>
      </c>
      <c r="H7" s="17">
        <v>123</v>
      </c>
      <c r="I7" s="17">
        <v>372</v>
      </c>
    </row>
    <row r="8" spans="1:9" x14ac:dyDescent="0.25">
      <c r="A8" t="s">
        <v>34</v>
      </c>
      <c r="B8" s="17">
        <v>1760</v>
      </c>
      <c r="C8" s="17">
        <v>2066</v>
      </c>
      <c r="D8" s="18">
        <f>C8/B8</f>
        <v/>
      </c>
      <c r="E8" s="17">
        <v>166</v>
      </c>
      <c r="F8" s="17">
        <v>92</v>
      </c>
      <c r="G8" s="17">
        <v>87</v>
      </c>
      <c r="H8" s="17">
        <v>44</v>
      </c>
      <c r="I8" s="17">
        <v>90</v>
      </c>
    </row>
    <row r="9" spans="1:9" x14ac:dyDescent="0.25">
      <c r="A9" t="s">
        <v>35</v>
      </c>
      <c r="B9" s="17">
        <v>617</v>
      </c>
      <c r="C9" s="17">
        <v>2275</v>
      </c>
      <c r="D9" s="18">
        <f>C9/B9</f>
        <v/>
      </c>
      <c r="E9" s="17">
        <v>71</v>
      </c>
      <c r="F9" s="17">
        <v>119</v>
      </c>
      <c r="G9" s="17">
        <v>32</v>
      </c>
      <c r="H9" s="17">
        <v>10</v>
      </c>
      <c r="I9" s="17">
        <v>21</v>
      </c>
    </row>
    <row r="11" spans="1:9" x14ac:dyDescent="0.25">
      <c r="A11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F2A0-8966-5ED6-B43D-D8455CDCE802}">
  <dimension ref="A1:H13"/>
  <sheetViews>
    <sheetView workbookViewId="0">
      <selection activeCell="A1" sqref="A1"/>
    </sheetView>
  </sheetViews>
  <sheetFormatPr defaultRowHeight="15" x14ac:dyDescent="0.25"/>
  <cols>
    <col min="1" max="1" width="40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1.7109375" customWidth="1"/>
    <col min="7" max="7" width="13.7109375" customWidth="1"/>
    <col min="8" max="8" width="8.7109375" customWidth="1"/>
  </cols>
  <sheetData>
    <row r="1" spans="1:8" x14ac:dyDescent="0.25">
      <c r="A1" s="1" t="s">
        <v>37</v>
      </c>
    </row>
    <row r="2" spans="1:8" x14ac:dyDescent="0.25">
      <c r="A2" s="2" t="s">
        <v>38</v>
      </c>
    </row>
    <row r="4" spans="1:8" ht="30" customHeight="1" x14ac:dyDescent="0.25">
      <c r="A4" s="3" t="s">
        <v>39</v>
      </c>
      <c r="B4" s="3" t="s">
        <v>10</v>
      </c>
      <c r="C4" s="3" t="s">
        <v>12</v>
      </c>
      <c r="D4" s="3" t="s">
        <v>15</v>
      </c>
      <c r="E4" s="3" t="s">
        <v>16</v>
      </c>
      <c r="F4" s="3" t="s">
        <v>13</v>
      </c>
      <c r="G4" s="3" t="s">
        <v>40</v>
      </c>
      <c r="H4" s="3" t="s">
        <v>41</v>
      </c>
    </row>
    <row r="5" spans="1:8" x14ac:dyDescent="0.25">
      <c r="A5" t="s">
        <v>42</v>
      </c>
      <c r="B5" s="19">
        <v>0.003562764031083798</v>
      </c>
      <c r="C5" s="19">
        <v>-0.004461990999824139</v>
      </c>
      <c r="D5" s="19">
        <v>-0.08541510880434779</v>
      </c>
      <c r="E5" s="19">
        <v>0.005118781290984087</v>
      </c>
      <c r="F5" s="19">
        <v>0.002336055639033496</v>
      </c>
      <c r="G5" s="20">
        <v>0.08541510880434779</v>
      </c>
      <c r="H5" t="s">
        <v>14</v>
      </c>
    </row>
    <row r="6" spans="1:8" x14ac:dyDescent="0.25">
      <c r="A6" t="s">
        <v>43</v>
      </c>
      <c r="B6" s="19">
        <v>0.006554089913541894</v>
      </c>
      <c r="C6" s="19">
        <v>-0.004549947448906577</v>
      </c>
      <c r="D6" s="19">
        <v>-0.07849608939596453</v>
      </c>
      <c r="E6" s="19">
        <v>0.003181608637614408</v>
      </c>
      <c r="F6" s="19">
        <v>0.002536416614787429</v>
      </c>
      <c r="G6" s="20">
        <v>0.07849608939596453</v>
      </c>
      <c r="H6" t="s">
        <v>14</v>
      </c>
    </row>
    <row r="7" spans="1:8" x14ac:dyDescent="0.25">
      <c r="A7" t="s">
        <v>44</v>
      </c>
      <c r="B7" s="19">
        <v>0.001910471087438248</v>
      </c>
      <c r="C7" s="19">
        <v>-0.008937008031956073</v>
      </c>
      <c r="D7" s="19">
        <v>-0.06783373015626992</v>
      </c>
      <c r="E7" s="19">
        <v>-0.005616022569012058</v>
      </c>
      <c r="F7" s="19">
        <v>0.0005476618480499962</v>
      </c>
      <c r="G7" s="20">
        <v>0.06783373015626992</v>
      </c>
      <c r="H7" t="s">
        <v>14</v>
      </c>
    </row>
    <row r="8" spans="1:8" x14ac:dyDescent="0.25">
      <c r="A8" t="s">
        <v>45</v>
      </c>
      <c r="B8" s="19">
        <v>0.001352572195127522</v>
      </c>
      <c r="C8" s="19">
        <v>-0.008353055283508271</v>
      </c>
      <c r="D8" s="19">
        <v>-0.08633816899577351</v>
      </c>
      <c r="E8" s="19">
        <v>-0.005152148279633839</v>
      </c>
      <c r="F8" s="19">
        <v>0.002171598051654566</v>
      </c>
      <c r="G8" s="20">
        <v>0.08633816899577351</v>
      </c>
      <c r="H8" t="s">
        <v>14</v>
      </c>
    </row>
    <row r="9" spans="1:8" x14ac:dyDescent="0.25">
      <c r="A9" s="21" t="s">
        <v>46</v>
      </c>
      <c r="B9" s="22">
        <v>0.0007761995999697735</v>
      </c>
      <c r="C9" s="22">
        <v>-0.009362340686325021</v>
      </c>
      <c r="D9" s="22">
        <v>-0.0109002966716496</v>
      </c>
      <c r="E9" s="22">
        <v>-0.007831659550866843</v>
      </c>
      <c r="F9" s="22">
        <v>0.00225773664080009</v>
      </c>
      <c r="G9" s="23">
        <v>0.0109002966716496</v>
      </c>
      <c r="H9" s="21" t="s">
        <v>11</v>
      </c>
    </row>
    <row r="10" spans="1:8" x14ac:dyDescent="0.25">
      <c r="A10" s="21" t="s">
        <v>47</v>
      </c>
      <c r="B10" s="22">
        <v>0.001010989311190702</v>
      </c>
      <c r="C10" s="22">
        <v>-0.008533711872829253</v>
      </c>
      <c r="D10" s="22">
        <v>-0.01013094193494668</v>
      </c>
      <c r="E10" s="22">
        <v>-0.005931801708790929</v>
      </c>
      <c r="F10" s="22">
        <v>0.002725750003145233</v>
      </c>
      <c r="G10" s="23">
        <v>0.01013094193494668</v>
      </c>
      <c r="H10" s="21" t="s">
        <v>11</v>
      </c>
    </row>
    <row r="11" spans="1:8" x14ac:dyDescent="0.25">
      <c r="A11" s="21" t="s">
        <v>48</v>
      </c>
      <c r="B11" s="22">
        <v>0.0007843136531808792</v>
      </c>
      <c r="C11" s="22">
        <v>-0.009363967652343042</v>
      </c>
      <c r="D11" s="22">
        <v>-0.01090203628189768</v>
      </c>
      <c r="E11" s="22">
        <v>-0.007843949014708196</v>
      </c>
      <c r="F11" s="22">
        <v>0.002255716315099576</v>
      </c>
      <c r="G11" s="23">
        <v>0.01090203628189768</v>
      </c>
      <c r="H11" s="21" t="s">
        <v>11</v>
      </c>
    </row>
    <row r="13" spans="1:8" x14ac:dyDescent="0.25">
      <c r="A13" s="2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DC6-B529-5721-82ED-D86ED1CA5729}">
  <dimension ref="A1:E10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2.7109375" customWidth="1"/>
    <col min="3" max="3" width="12.7109375" customWidth="1"/>
    <col min="4" max="4" width="12.7109375" customWidth="1"/>
    <col min="5" max="5" width="16.7109375" customWidth="1"/>
  </cols>
  <sheetData>
    <row r="1" spans="1:5" x14ac:dyDescent="0.25">
      <c r="A1" s="1" t="s">
        <v>50</v>
      </c>
    </row>
    <row r="2" spans="1:5" x14ac:dyDescent="0.25">
      <c r="A2" s="2" t="s">
        <v>51</v>
      </c>
    </row>
    <row r="4" spans="1:5" ht="30" customHeight="1" x14ac:dyDescent="0.25">
      <c r="A4" s="3" t="s">
        <v>2</v>
      </c>
      <c r="B4" s="3" t="s">
        <v>52</v>
      </c>
      <c r="C4" s="3" t="s">
        <v>53</v>
      </c>
      <c r="D4" s="3" t="s">
        <v>54</v>
      </c>
      <c r="E4" s="3" t="s">
        <v>55</v>
      </c>
    </row>
    <row r="5" spans="1:5" x14ac:dyDescent="0.25">
      <c r="A5" t="s">
        <v>10</v>
      </c>
      <c r="B5" s="17">
        <v>44743</v>
      </c>
      <c r="C5" s="17">
        <v>11434</v>
      </c>
      <c r="D5" s="17">
        <v>4925</v>
      </c>
      <c r="E5" s="17">
        <f>SUM(B5:D5)</f>
        <v/>
      </c>
    </row>
    <row r="6" spans="1:5" x14ac:dyDescent="0.25">
      <c r="A6" t="s">
        <v>12</v>
      </c>
      <c r="B6" s="17">
        <v>30213</v>
      </c>
      <c r="C6" s="17">
        <v>7051</v>
      </c>
      <c r="D6" s="17">
        <v>2831</v>
      </c>
      <c r="E6" s="17">
        <f>SUM(B6:D6)</f>
        <v/>
      </c>
    </row>
    <row r="7" spans="1:5" x14ac:dyDescent="0.25">
      <c r="A7" t="s">
        <v>15</v>
      </c>
      <c r="B7" s="17">
        <v>30001</v>
      </c>
      <c r="C7" s="17">
        <v>5746</v>
      </c>
      <c r="D7" s="17">
        <v>2037</v>
      </c>
      <c r="E7" s="17">
        <f>SUM(B7:D7)</f>
        <v/>
      </c>
    </row>
    <row r="8" spans="1:5" x14ac:dyDescent="0.25">
      <c r="A8" t="s">
        <v>16</v>
      </c>
      <c r="B8" s="17">
        <v>19421</v>
      </c>
      <c r="C8" s="17">
        <v>3243</v>
      </c>
      <c r="D8" s="17">
        <v>1003</v>
      </c>
      <c r="E8" s="17">
        <f>SUM(B8:D8)</f>
        <v/>
      </c>
    </row>
    <row r="9" spans="1:5" x14ac:dyDescent="0.25">
      <c r="A9" t="s">
        <v>13</v>
      </c>
      <c r="B9" s="17">
        <v>36590</v>
      </c>
      <c r="C9" s="17">
        <v>7448</v>
      </c>
      <c r="D9" s="17">
        <v>2919</v>
      </c>
      <c r="E9" s="17">
        <f>SUM(B9:D9)</f>
        <v/>
      </c>
    </row>
    <row r="10" spans="1:5" x14ac:dyDescent="0.25">
      <c r="A10" s="13" t="s">
        <v>56</v>
      </c>
      <c r="B10" s="17">
        <f>SUM(B5:B9)</f>
        <v/>
      </c>
      <c r="C10" s="17">
        <f>SUM(C5:C9)</f>
        <v/>
      </c>
      <c r="D10" s="17">
        <f>SUM(D5:D9)</f>
        <v/>
      </c>
      <c r="E10" s="17">
        <f>SUM(E5:E9)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2025</vt:lpstr>
      <vt:lpstr>Development</vt:lpstr>
      <vt:lpstr>Back-test 2022</vt:lpstr>
      <vt:lpstr>Cars on cover</vt:lpstr>
    </vt:vector>
  </TitlesOfParts>
  <Company>Corriven Insurance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Thorpe</dc:creator>
  <cp:lastModifiedBy>Carol Thorpe</cp:lastModifiedBy>
  <dcterms:created xsi:type="dcterms:W3CDTF">2026-10-12T13:05:44Z</dcterms:created>
  <dcterms:modified xsi:type="dcterms:W3CDTF">2026-10-14T15:52:10Z</dcterms:modified>
</cp:coreProperties>
</file>