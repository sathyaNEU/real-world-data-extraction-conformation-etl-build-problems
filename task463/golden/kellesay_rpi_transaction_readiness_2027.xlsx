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standalone="yes"?>
<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iness 2027" sheetId="1" state="visible" r:id="rId1"/>
    <sheet xmlns:r="http://schemas.openxmlformats.org/officeDocument/2006/relationships" name="Supplier timeliness" sheetId="2" state="visible" r:id="rId2"/>
    <sheet xmlns:r="http://schemas.openxmlformats.org/officeDocument/2006/relationships" name="Coverage 2025" sheetId="3" state="visible" r:id="rId3"/>
    <sheet xmlns:r="http://schemas.openxmlformats.org/officeDocument/2006/relationships" name="Notes" sheetId="4" state="visible" r:id="rId4"/>
  </sheets>
  <definedNames/>
  <calcPr calcId="124519" fullCalcOnLoad="1"/>
</workbook>
</file>

<file path=xl/sharedStrings.xml><?xml version="1.0" encoding="utf-8"?>
<sst xmlns="http://schemas.openxmlformats.org/spreadsheetml/2006/main" count="120" uniqueCount="72">
  <si>
    <t>RPI items moving to supermarket transaction data in January 2027: 13 of 16</t>
  </si>
  <si>
    <t>Parallel year September 2025 to September 2026. Transaction-data 12-month rate against the published 12-month rate; an item moves when the two are within 1.5 percentage points (introduction plan, 4.1).</t>
  </si>
  <si>
    <t>Item code</t>
  </si>
  <si>
    <t>Item</t>
  </si>
  <si>
    <t>Lines compared</t>
  </si>
  <si>
    <t>12-month rate, transaction data (%)</t>
  </si>
  <si>
    <t>12-month rate, published (%)</t>
  </si>
  <si>
    <t>Difference (points)</t>
  </si>
  <si>
    <t>January 2027</t>
  </si>
  <si>
    <t>1101</t>
  </si>
  <si>
    <t>Bread</t>
  </si>
  <si>
    <t>Moves to transaction data</t>
  </si>
  <si>
    <t>1103</t>
  </si>
  <si>
    <t>Breakfast cereals</t>
  </si>
  <si>
    <t>1105</t>
  </si>
  <si>
    <t>Pasta and rice</t>
  </si>
  <si>
    <t>Stays on field collection</t>
  </si>
  <si>
    <t>1108</t>
  </si>
  <si>
    <t>Biscuits</t>
  </si>
  <si>
    <t>1145</t>
  </si>
  <si>
    <t>Yoghurt</t>
  </si>
  <si>
    <t>1146</t>
  </si>
  <si>
    <t>Cheese</t>
  </si>
  <si>
    <t>1151</t>
  </si>
  <si>
    <t>Butter and spreads</t>
  </si>
  <si>
    <t>1182</t>
  </si>
  <si>
    <t>Chocolate and sweets</t>
  </si>
  <si>
    <t>1211</t>
  </si>
  <si>
    <t>Coffee</t>
  </si>
  <si>
    <t>1212</t>
  </si>
  <si>
    <t>Tea</t>
  </si>
  <si>
    <t>1221</t>
  </si>
  <si>
    <t>Soft drinks</t>
  </si>
  <si>
    <t>1222</t>
  </si>
  <si>
    <t>Bottled water</t>
  </si>
  <si>
    <t>1223</t>
  </si>
  <si>
    <t>Fruit juice</t>
  </si>
  <si>
    <t>5611</t>
  </si>
  <si>
    <t>Laundry products</t>
  </si>
  <si>
    <t>5613</t>
  </si>
  <si>
    <t>Toilet and kitchen rolls</t>
  </si>
  <si>
    <t>6213</t>
  </si>
  <si>
    <t>Toiletries</t>
  </si>
  <si>
    <t>Moving: Bread, Breakfast cereals, Biscuits, Yoghurt, Butter and spreads, Coffee, Tea, Soft drinks, Bottled water, Fruit juice, Laundry products, Toilet and kitchen rolls, Toiletries.</t>
  </si>
  <si>
    <t>Staying: Pasta and rice, Cheese, Chocolate and sweets.</t>
  </si>
  <si>
    <t>Days from a month's end until the supermarket's records for the month were complete</t>
  </si>
  <si>
    <t>Average over the thirteen months of the parallel year; the arrival of the last file carrying the month's records, in Kellesay time. A week's records belong to the month in which the week ends.</t>
  </si>
  <si>
    <t>Supermarket</t>
  </si>
  <si>
    <t>Average days</t>
  </si>
  <si>
    <t>2025-09</t>
  </si>
  <si>
    <t>2025-10</t>
  </si>
  <si>
    <t>2025-11</t>
  </si>
  <si>
    <t>2025-12</t>
  </si>
  <si>
    <t>2026-01</t>
  </si>
  <si>
    <t>2026-02</t>
  </si>
  <si>
    <t>2026-03</t>
  </si>
  <si>
    <t>2026-04</t>
  </si>
  <si>
    <t>2026-05</t>
  </si>
  <si>
    <t>2026-06</t>
  </si>
  <si>
    <t>2026-07</t>
  </si>
  <si>
    <t>2026-08</t>
  </si>
  <si>
    <t>2026-09</t>
  </si>
  <si>
    <t>Wrenfold Stores</t>
  </si>
  <si>
    <t>Gorsedale Co-operative</t>
  </si>
  <si>
    <t>Calderby's</t>
  </si>
  <si>
    <t>The three supermarkets' 2025 retail sales as a share of households' 2025 spending, by item</t>
  </si>
  <si>
    <t>Retail sales with GST from the supermarkets' annual returns (Gorsedale's trade sales left out, Calderby's net sales with GST added), each category placed by its name in the office's category map.</t>
  </si>
  <si>
    <t>Coverage (%)</t>
  </si>
  <si>
    <t>Product line: a GTIN at one supermarket. Lines compared: those each supermarket sold in every month from September 2025 to September 2026 (plan 3.4).</t>
  </si>
  <si>
    <t>Monthly price: sales value with GST over units sold in the month, returns netted; Calderby's net values carry 5 per cent GST; each resent Wrenfold week at its latest extract; a retailer week in the month it ends.</t>
  </si>
  <si>
    <t>12-month rate: September 2026 compared with September 2025 directly over the lines compared, each line weighted by its spending share averaged over the two months (Törnqvist). Linking the twelve month-on-month comparisons is not used: offer months lift a stored good's sales and the month after falls, so the links drift below every line's own change.</t>
  </si>
  <si>
    <t>Published rates as published on 15 October 2026. Rates and differences to one decimal place; the test uses the rounded rates.</t>
  </si>
</sst>
</file>

<file path=xl/styles.xml><?xml version="1.0" encoding="utf-8"?>
<styleSheet xmlns="http://schemas.openxmlformats.org/spreadsheetml/2006/main">
  <numFmts count="1">
    <numFmt numFmtId="164" formatCode="0.0"/>
  </numFmts>
  <fonts count="4">
    <font>
      <name val="Calibri"/>
      <family val="2"/>
      <color theme="1"/>
      <sz val="11"/>
      <scheme val="minor"/>
    </font>
    <font>
      <b val="1"/>
      <sz val="13"/>
    </font>
    <font>
      <b val="1"/>
    </font>
    <font>
      <b val="1"/>
      <sz val="12"/>
    </font>
  </fonts>
  <fills count="3">
    <fill>
      <patternFill/>
    </fill>
    <fill>
      <patternFill patternType="gray125"/>
    </fill>
    <fill>
      <patternFill patternType="solid">
        <fgColor rgb="00E6EEF0"/>
      </patternFill>
    </fill>
  </fills>
  <borders count="2">
    <border>
      <left/>
      <right/>
      <top/>
      <bottom/>
      <diagonal/>
    </border>
    <border>
      <bottom style="thin">
        <color rgb="009AA0A6"/>
      </bottom>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1" applyAlignment="1" pivotButton="0" quotePrefix="0" xfId="0">
      <alignment vertical="top" wrapText="1"/>
    </xf>
    <xf numFmtId="1" fontId="0" fillId="0" borderId="0" pivotButton="0" quotePrefix="0" xfId="0"/>
    <xf numFmtId="164" fontId="0" fillId="0" borderId="0" pivotButton="0" quotePrefix="0" xfId="0"/>
    <xf numFmtId="0" fontId="3" fillId="0" borderId="0" pivotButton="0" quotePrefix="0" xfId="0"/>
    <xf numFmtId="0" fontId="2"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 Type="http://schemas.openxmlformats.org/officeDocument/2006/relationships/sharedStrings" Target="sharedStrings.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12-month rate to September 2026 (%)</a:t>
            </a:r>
          </a:p>
        </rich>
      </tx>
    </title>
    <plotArea>
      <barChart>
        <barDir val="bar"/>
        <grouping val="clustered"/>
        <ser>
          <idx val="0"/>
          <order val="0"/>
          <tx>
            <strRef>
              <f>'Readiness 2027'!D4</f>
            </strRef>
          </tx>
          <spPr>
            <a:ln xmlns:a="http://schemas.openxmlformats.org/drawingml/2006/main">
              <a:prstDash val="solid"/>
            </a:ln>
          </spPr>
          <cat>
            <numRef>
              <f>'Readiness 2027'!$B$5:$B$20</f>
            </numRef>
          </cat>
          <val>
            <numRef>
              <f>'Readiness 2027'!$D$5:$D$20</f>
            </numRef>
          </val>
        </ser>
        <ser>
          <idx val="1"/>
          <order val="1"/>
          <tx>
            <strRef>
              <f>'Readiness 2027'!E4</f>
            </strRef>
          </tx>
          <spPr>
            <a:ln xmlns:a="http://schemas.openxmlformats.org/drawingml/2006/main">
              <a:prstDash val="solid"/>
            </a:ln>
          </spPr>
          <cat>
            <numRef>
              <f>'Readiness 2027'!$B$5:$B$20</f>
            </numRef>
          </cat>
          <val>
            <numRef>
              <f>'Readiness 2027'!$E$5:$E$20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per cent</a:t>
                </a:r>
              </a:p>
            </rich>
          </tx>
        </title>
        <majorTickMark val="none"/>
        <minorTickMark val="none"/>
        <crossAx val="10"/>
      </valAx>
    </plotArea>
    <legend>
      <legendPos val="r"/>
    </legend>
    <plotVisOnly val="1"/>
    <dispBlanksAs val="gap"/>
  </chart>
</chartSpace>
</file>

<file path=xl/drawings/_rels/drawing1.xml.rels><?xml version="1.0" encoding="UTF-8" standalone="yes"?>
<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3</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G2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10" customWidth="1" min="3" max="3"/>
    <col width="16" customWidth="1" min="4" max="4"/>
    <col width="16" customWidth="1" min="5" max="5"/>
    <col width="13" customWidth="1" min="6" max="6"/>
    <col width="26" customWidth="1" min="7" max="7"/>
  </cols>
  <sheetData>
    <row r="1">
      <c r="A1" s="1" t="s">
        <v>0</v>
      </c>
    </row>
    <row r="2">
      <c r="A2" t="s">
        <v>1</v>
      </c>
    </row>
    <row r="4" ht="44" customHeight="1">
      <c r="A4" s="2" t="s">
        <v>2</v>
      </c>
      <c r="B4" s="2" t="s">
        <v>3</v>
      </c>
      <c r="C4" s="2" t="s">
        <v>4</v>
      </c>
      <c r="D4" s="2" t="s">
        <v>5</v>
      </c>
      <c r="E4" s="2" t="s">
        <v>6</v>
      </c>
      <c r="F4" s="2" t="s">
        <v>7</v>
      </c>
      <c r="G4" s="2" t="s">
        <v>8</v>
      </c>
    </row>
    <row r="5">
      <c r="A5" t="s">
        <v>9</v>
      </c>
      <c r="B5" t="s">
        <v>10</v>
      </c>
      <c r="C5" s="3" t="n">
        <v>62</v>
      </c>
      <c r="D5" s="4" t="n">
        <v>1.4</v>
      </c>
      <c r="E5" s="4" t="n">
        <v>1.1</v>
      </c>
      <c r="F5" s="4" t="n">
        <v>0.3</v>
      </c>
      <c r="G5" t="s">
        <v>11</v>
      </c>
    </row>
    <row r="6">
      <c r="A6" t="s">
        <v>12</v>
      </c>
      <c r="B6" t="s">
        <v>13</v>
      </c>
      <c r="C6" s="3" t="n">
        <v>75</v>
      </c>
      <c r="D6" s="4" t="n">
        <v>2.6</v>
      </c>
      <c r="E6" s="4" t="n">
        <v>1.8</v>
      </c>
      <c r="F6" s="4" t="n">
        <v>0.8</v>
      </c>
      <c r="G6" t="s">
        <v>11</v>
      </c>
    </row>
    <row r="7">
      <c r="A7" t="s">
        <v>14</v>
      </c>
      <c r="B7" t="s">
        <v>15</v>
      </c>
      <c r="C7" s="3" t="n">
        <v>67</v>
      </c>
      <c r="D7" s="4" t="n">
        <v>4.7</v>
      </c>
      <c r="E7" s="4" t="n">
        <v>2.4</v>
      </c>
      <c r="F7" s="4" t="n">
        <v>2.3</v>
      </c>
      <c r="G7" t="s">
        <v>16</v>
      </c>
    </row>
    <row r="8">
      <c r="A8" t="s">
        <v>17</v>
      </c>
      <c r="B8" t="s">
        <v>18</v>
      </c>
      <c r="C8" s="3" t="n">
        <v>77</v>
      </c>
      <c r="D8" s="4" t="n">
        <v>2.7</v>
      </c>
      <c r="E8" s="4" t="n">
        <v>2.6</v>
      </c>
      <c r="F8" s="4" t="n">
        <v>0.1</v>
      </c>
      <c r="G8" t="s">
        <v>11</v>
      </c>
    </row>
    <row r="9">
      <c r="A9" t="s">
        <v>19</v>
      </c>
      <c r="B9" t="s">
        <v>20</v>
      </c>
      <c r="C9" s="3" t="n">
        <v>66</v>
      </c>
      <c r="D9" s="4" t="n">
        <v>1.7</v>
      </c>
      <c r="E9" s="4" t="n">
        <v>1.4</v>
      </c>
      <c r="F9" s="4" t="n">
        <v>0.3</v>
      </c>
      <c r="G9" t="s">
        <v>11</v>
      </c>
    </row>
    <row r="10">
      <c r="A10" t="s">
        <v>21</v>
      </c>
      <c r="B10" t="s">
        <v>22</v>
      </c>
      <c r="C10" s="3" t="n">
        <v>62</v>
      </c>
      <c r="D10" s="4" t="n">
        <v>-0.2</v>
      </c>
      <c r="E10" s="4" t="n">
        <v>2.7</v>
      </c>
      <c r="F10" s="4" t="n">
        <v>-2.9</v>
      </c>
      <c r="G10" t="s">
        <v>16</v>
      </c>
    </row>
    <row r="11">
      <c r="A11" t="s">
        <v>23</v>
      </c>
      <c r="B11" t="s">
        <v>24</v>
      </c>
      <c r="C11" s="3" t="n">
        <v>43</v>
      </c>
      <c r="D11" s="4" t="n">
        <v>1.4</v>
      </c>
      <c r="E11" s="4" t="n">
        <v>1.4</v>
      </c>
      <c r="F11" s="4" t="n">
        <v>0</v>
      </c>
      <c r="G11" t="s">
        <v>11</v>
      </c>
    </row>
    <row r="12">
      <c r="A12" t="s">
        <v>25</v>
      </c>
      <c r="B12" t="s">
        <v>26</v>
      </c>
      <c r="C12" s="3" t="n">
        <v>87</v>
      </c>
      <c r="D12" s="4" t="n">
        <v>-0.3</v>
      </c>
      <c r="E12" s="4" t="n">
        <v>2.5</v>
      </c>
      <c r="F12" s="4" t="n">
        <v>-2.8</v>
      </c>
      <c r="G12" t="s">
        <v>16</v>
      </c>
    </row>
    <row r="13">
      <c r="A13" t="s">
        <v>27</v>
      </c>
      <c r="B13" t="s">
        <v>28</v>
      </c>
      <c r="C13" s="3" t="n">
        <v>60</v>
      </c>
      <c r="D13" s="4" t="n">
        <v>5.6</v>
      </c>
      <c r="E13" s="4" t="n">
        <v>5.8</v>
      </c>
      <c r="F13" s="4" t="n">
        <v>-0.2</v>
      </c>
      <c r="G13" t="s">
        <v>11</v>
      </c>
    </row>
    <row r="14">
      <c r="A14" t="s">
        <v>29</v>
      </c>
      <c r="B14" t="s">
        <v>30</v>
      </c>
      <c r="C14" s="3" t="n">
        <v>50</v>
      </c>
      <c r="D14" s="4" t="n">
        <v>1.7</v>
      </c>
      <c r="E14" s="4" t="n">
        <v>1.4</v>
      </c>
      <c r="F14" s="4" t="n">
        <v>0.3</v>
      </c>
      <c r="G14" t="s">
        <v>11</v>
      </c>
    </row>
    <row r="15">
      <c r="A15" t="s">
        <v>31</v>
      </c>
      <c r="B15" t="s">
        <v>32</v>
      </c>
      <c r="C15" s="3" t="n">
        <v>87</v>
      </c>
      <c r="D15" s="4" t="n">
        <v>2.2</v>
      </c>
      <c r="E15" s="4" t="n">
        <v>2.3</v>
      </c>
      <c r="F15" s="4" t="n">
        <v>-0.1</v>
      </c>
      <c r="G15" t="s">
        <v>11</v>
      </c>
    </row>
    <row r="16">
      <c r="A16" t="s">
        <v>33</v>
      </c>
      <c r="B16" t="s">
        <v>34</v>
      </c>
      <c r="C16" s="3" t="n">
        <v>37</v>
      </c>
      <c r="D16" s="4" t="n">
        <v>0.6</v>
      </c>
      <c r="E16" s="4" t="n">
        <v>0.7</v>
      </c>
      <c r="F16" s="4" t="n">
        <v>-0.1</v>
      </c>
      <c r="G16" t="s">
        <v>11</v>
      </c>
    </row>
    <row r="17">
      <c r="A17" t="s">
        <v>35</v>
      </c>
      <c r="B17" t="s">
        <v>36</v>
      </c>
      <c r="C17" s="3" t="n">
        <v>41</v>
      </c>
      <c r="D17" s="4" t="n">
        <v>1.7</v>
      </c>
      <c r="E17" s="4" t="n">
        <v>1.2</v>
      </c>
      <c r="F17" s="4" t="n">
        <v>0.5</v>
      </c>
      <c r="G17" t="s">
        <v>11</v>
      </c>
    </row>
    <row r="18">
      <c r="A18" t="s">
        <v>37</v>
      </c>
      <c r="B18" t="s">
        <v>38</v>
      </c>
      <c r="C18" s="3" t="n">
        <v>56</v>
      </c>
      <c r="D18" s="4" t="n">
        <v>2.6</v>
      </c>
      <c r="E18" s="4" t="n">
        <v>2.6</v>
      </c>
      <c r="F18" s="4" t="n">
        <v>0</v>
      </c>
      <c r="G18" t="s">
        <v>11</v>
      </c>
    </row>
    <row r="19">
      <c r="A19" t="s">
        <v>39</v>
      </c>
      <c r="B19" t="s">
        <v>40</v>
      </c>
      <c r="C19" s="3" t="n">
        <v>43</v>
      </c>
      <c r="D19" s="4" t="n">
        <v>2.6</v>
      </c>
      <c r="E19" s="4" t="n">
        <v>2.5</v>
      </c>
      <c r="F19" s="4" t="n">
        <v>0.1</v>
      </c>
      <c r="G19" t="s">
        <v>11</v>
      </c>
    </row>
    <row r="20">
      <c r="A20" t="s">
        <v>41</v>
      </c>
      <c r="B20" t="s">
        <v>42</v>
      </c>
      <c r="C20" s="3" t="n">
        <v>99</v>
      </c>
      <c r="D20" s="4" t="n">
        <v>2.5</v>
      </c>
      <c r="E20" s="4" t="n">
        <v>2.4</v>
      </c>
      <c r="F20" s="4" t="n">
        <v>0.1</v>
      </c>
      <c r="G20" t="s">
        <v>11</v>
      </c>
    </row>
    <row r="22">
      <c r="A22" t="s">
        <v>43</v>
      </c>
    </row>
    <row r="23">
      <c r="A23" t="s">
        <v>44</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cols>
    <col width="26" customWidth="1" min="1" max="1"/>
    <col width="13" customWidth="1" min="2" max="2"/>
  </cols>
  <sheetData>
    <row r="1">
      <c r="A1" s="5" t="s">
        <v>45</v>
      </c>
    </row>
    <row r="2">
      <c r="A2" t="s">
        <v>46</v>
      </c>
    </row>
    <row r="4">
      <c r="A4" s="6" t="s">
        <v>47</v>
      </c>
      <c r="B4" s="6" t="s">
        <v>48</v>
      </c>
      <c r="C4" s="6" t="s">
        <v>49</v>
      </c>
      <c r="D4" s="6" t="s">
        <v>50</v>
      </c>
      <c r="E4" s="6" t="s">
        <v>51</v>
      </c>
      <c r="F4" s="6" t="s">
        <v>52</v>
      </c>
      <c r="G4" s="6" t="s">
        <v>53</v>
      </c>
      <c r="H4" s="6" t="s">
        <v>54</v>
      </c>
      <c r="I4" s="6" t="s">
        <v>55</v>
      </c>
      <c r="J4" s="6" t="s">
        <v>56</v>
      </c>
      <c r="K4" s="6" t="s">
        <v>57</v>
      </c>
      <c r="L4" s="6" t="s">
        <v>58</v>
      </c>
      <c r="M4" s="6" t="s">
        <v>59</v>
      </c>
      <c r="N4" s="6" t="s">
        <v>60</v>
      </c>
      <c r="O4" s="6" t="s">
        <v>61</v>
      </c>
    </row>
    <row r="5">
      <c r="A5" t="s">
        <v>62</v>
      </c>
      <c r="B5" s="4" t="n">
        <v>2</v>
      </c>
      <c r="C5" t="n">
        <v>1</v>
      </c>
      <c r="D5" t="n">
        <v>-2</v>
      </c>
      <c r="E5" t="n">
        <v>4</v>
      </c>
      <c r="F5" t="n">
        <v>4</v>
      </c>
      <c r="G5" t="n">
        <v>4</v>
      </c>
      <c r="H5" t="n">
        <v>9</v>
      </c>
      <c r="I5" t="n">
        <v>1</v>
      </c>
      <c r="J5" t="n">
        <v>-1</v>
      </c>
      <c r="K5" t="n">
        <v>3</v>
      </c>
      <c r="L5" t="n">
        <v>1</v>
      </c>
      <c r="M5" t="n">
        <v>-1</v>
      </c>
      <c r="N5" t="n">
        <v>2</v>
      </c>
      <c r="O5" t="n">
        <v>1</v>
      </c>
    </row>
    <row r="6">
      <c r="A6" t="s">
        <v>63</v>
      </c>
      <c r="B6" s="4" t="n">
        <v>8</v>
      </c>
      <c r="C6" t="n">
        <v>4</v>
      </c>
      <c r="D6" t="n">
        <v>11</v>
      </c>
      <c r="E6" t="n">
        <v>9</v>
      </c>
      <c r="F6" t="n">
        <v>10</v>
      </c>
      <c r="G6" t="n">
        <v>7</v>
      </c>
      <c r="H6" t="n">
        <v>10</v>
      </c>
      <c r="I6" t="n">
        <v>4</v>
      </c>
      <c r="J6" t="n">
        <v>11</v>
      </c>
      <c r="K6" t="n">
        <v>8</v>
      </c>
      <c r="L6" t="n">
        <v>7</v>
      </c>
      <c r="M6" t="n">
        <v>10</v>
      </c>
      <c r="N6" t="n">
        <v>8</v>
      </c>
      <c r="O6" t="n">
        <v>5</v>
      </c>
    </row>
    <row r="7">
      <c r="A7" t="s">
        <v>64</v>
      </c>
      <c r="B7" s="4" t="n">
        <v>8.6</v>
      </c>
      <c r="C7" t="n">
        <v>9</v>
      </c>
      <c r="D7" t="n">
        <v>6</v>
      </c>
      <c r="E7" t="n">
        <v>7</v>
      </c>
      <c r="F7" t="n">
        <v>8</v>
      </c>
      <c r="G7" t="n">
        <v>7</v>
      </c>
      <c r="H7" t="n">
        <v>10</v>
      </c>
      <c r="I7" t="n">
        <v>22</v>
      </c>
      <c r="J7" t="n">
        <v>6</v>
      </c>
      <c r="K7" t="n">
        <v>8</v>
      </c>
      <c r="L7" t="n">
        <v>5</v>
      </c>
      <c r="M7" t="n">
        <v>8</v>
      </c>
      <c r="N7" t="n">
        <v>9</v>
      </c>
      <c r="O7" t="n">
        <v>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6" customWidth="1" min="2" max="2"/>
    <col width="13" customWidth="1" min="3" max="3"/>
  </cols>
  <sheetData>
    <row r="1">
      <c r="A1" s="5" t="s">
        <v>65</v>
      </c>
    </row>
    <row r="2">
      <c r="A2" t="s">
        <v>66</v>
      </c>
    </row>
    <row r="4">
      <c r="A4" s="6" t="s">
        <v>2</v>
      </c>
      <c r="B4" s="6" t="s">
        <v>3</v>
      </c>
      <c r="C4" s="6" t="s">
        <v>67</v>
      </c>
    </row>
    <row r="5">
      <c r="A5" t="s">
        <v>9</v>
      </c>
      <c r="B5" t="s">
        <v>10</v>
      </c>
      <c r="C5" t="n">
        <v>68</v>
      </c>
    </row>
    <row r="6">
      <c r="A6" t="s">
        <v>12</v>
      </c>
      <c r="B6" t="s">
        <v>13</v>
      </c>
      <c r="C6" t="n">
        <v>58</v>
      </c>
    </row>
    <row r="7">
      <c r="A7" t="s">
        <v>14</v>
      </c>
      <c r="B7" t="s">
        <v>15</v>
      </c>
      <c r="C7" t="n">
        <v>67</v>
      </c>
    </row>
    <row r="8">
      <c r="A8" t="s">
        <v>17</v>
      </c>
      <c r="B8" t="s">
        <v>18</v>
      </c>
      <c r="C8" t="n">
        <v>77</v>
      </c>
    </row>
    <row r="9">
      <c r="A9" t="s">
        <v>19</v>
      </c>
      <c r="B9" t="s">
        <v>20</v>
      </c>
      <c r="C9" t="n">
        <v>55</v>
      </c>
    </row>
    <row r="10">
      <c r="A10" t="s">
        <v>21</v>
      </c>
      <c r="B10" t="s">
        <v>22</v>
      </c>
      <c r="C10" t="n">
        <v>69</v>
      </c>
    </row>
    <row r="11">
      <c r="A11" t="s">
        <v>23</v>
      </c>
      <c r="B11" t="s">
        <v>24</v>
      </c>
      <c r="C11" t="n">
        <v>59</v>
      </c>
    </row>
    <row r="12">
      <c r="A12" t="s">
        <v>25</v>
      </c>
      <c r="B12" t="s">
        <v>26</v>
      </c>
      <c r="C12" t="n">
        <v>73</v>
      </c>
    </row>
    <row r="13">
      <c r="A13" t="s">
        <v>27</v>
      </c>
      <c r="B13" t="s">
        <v>28</v>
      </c>
      <c r="C13" t="n">
        <v>59</v>
      </c>
    </row>
    <row r="14">
      <c r="A14" t="s">
        <v>29</v>
      </c>
      <c r="B14" t="s">
        <v>30</v>
      </c>
      <c r="C14" t="n">
        <v>62</v>
      </c>
    </row>
    <row r="15">
      <c r="A15" t="s">
        <v>31</v>
      </c>
      <c r="B15" t="s">
        <v>32</v>
      </c>
      <c r="C15" t="n">
        <v>57</v>
      </c>
    </row>
    <row r="16">
      <c r="A16" t="s">
        <v>33</v>
      </c>
      <c r="B16" t="s">
        <v>34</v>
      </c>
      <c r="C16" t="n">
        <v>60</v>
      </c>
    </row>
    <row r="17">
      <c r="A17" t="s">
        <v>35</v>
      </c>
      <c r="B17" t="s">
        <v>36</v>
      </c>
      <c r="C17" t="n">
        <v>58</v>
      </c>
    </row>
    <row r="18">
      <c r="A18" t="s">
        <v>37</v>
      </c>
      <c r="B18" t="s">
        <v>38</v>
      </c>
      <c r="C18" t="n">
        <v>60</v>
      </c>
    </row>
    <row r="19">
      <c r="A19" t="s">
        <v>39</v>
      </c>
      <c r="B19" t="s">
        <v>40</v>
      </c>
      <c r="C19" t="n">
        <v>66</v>
      </c>
    </row>
    <row r="20">
      <c r="A20" t="s">
        <v>41</v>
      </c>
      <c r="B20" t="s">
        <v>42</v>
      </c>
      <c r="C20" t="n">
        <v>73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20" customWidth="1" min="1" max="1"/>
  </cols>
  <sheetData>
    <row r="1">
      <c r="A1" s="7" t="s">
        <v>68</v>
      </c>
    </row>
    <row r="2">
      <c r="A2" s="7" t="s">
        <v>69</v>
      </c>
    </row>
    <row r="3">
      <c r="A3" s="7" t="s">
        <v>70</v>
      </c>
    </row>
    <row r="4">
      <c r="A4" s="7" t="s">
        <v>71</v>
      </c>
    </row>
  </sheetData>
  <pageMargins left="0.75" right="0.75" top="1" bottom="1" header="0.5" footer="0.5"/>
</worksheet>
</file>

<file path=docProps/app.xml><?xml version="1.0" encoding="utf-8"?>
<Properties xmlns="http://schemas.openxmlformats.org/officeDocument/2006/extended-properties">
  <Application>Microsoft Excel</Application>
  <AppVersion>16.0300</AppVersion>
  <Company>Statistics Kellesay</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Diana Lawson</dc:creator>
  <cp:lastModifiedBy>Diana Lawson</cp:lastModifiedBy>
  <dcterms:created xsi:type="dcterms:W3CDTF">2026-10-22T08:05:00Z</dcterms:created>
  <dcterms:modified xsi:type="dcterms:W3CDTF">2026-10-28T16:52:30Z</dcterms:modified>
</cp:coreProperties>
</file>