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30"/>
  <workbookPr defaultThemeVersion="166925"/>
  <xr:revisionPtr revIDLastSave="0" documentId="11_{A45F68F6-4357-495F-A093-D2CBF1EECBDF}" xr6:coauthVersionLast="47" xr6:coauthVersionMax="47" xr10:uidLastSave="{00000000-0000-0000-0000-000000000000}"/>
  <bookViews>
    <workbookView xWindow="-108" yWindow="-108" windowWidth="23256" windowHeight="12456" xr2:uid="{A5C68F53-9BD7-4E92-B367-9D85CC87B6ED}"/>
  </bookViews>
  <sheets>
    <sheet name="2025 compliance" sheetId="1" r:id="rId1"/>
  </sheets>
  <calcPr calcId="191029"/>
</workbook>
</file>

<file path=xl/sharedStrings.xml><?xml version="1.0" encoding="utf-8"?>
<sst xmlns="http://schemas.openxmlformats.org/spreadsheetml/2006/main" count="56" uniqueCount="21">
  <si>
    <t>P&amp;C maintenance test compliance, calendar year 2025</t>
  </si>
  <si>
    <t>P&amp;C maintenance program report. Tests due: periodic test work orders raised in 2025 under P&amp;C Standard 3.2, cancelled work orders excluded. On time: done within 30 days of the due date. Status at 31 January 2026.</t>
  </si>
  <si>
    <t>Model</t>
  </si>
  <si>
    <t>Operating region</t>
  </si>
  <si>
    <t>Tests due</t>
  </si>
  <si>
    <t>Done on time</t>
  </si>
  <si>
    <t>Done late</t>
  </si>
  <si>
    <t>Not done</t>
  </si>
  <si>
    <t>On-time %</t>
  </si>
  <si>
    <t>VPR-340</t>
  </si>
  <si>
    <t>North</t>
  </si>
  <si>
    <t>Central</t>
  </si>
  <si>
    <t>South</t>
  </si>
  <si>
    <t>VPR-220</t>
  </si>
  <si>
    <t>NX-9</t>
  </si>
  <si>
    <t>NX-5</t>
  </si>
  <si>
    <t>KDR-30</t>
  </si>
  <si>
    <t>AT-7</t>
  </si>
  <si>
    <t>RT-400</t>
  </si>
  <si>
    <t>RT-600</t>
  </si>
  <si>
    <t>All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</si>
</sst>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3E9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8671D-5156-49D2-A488-172BF59DBBC4}">
  <dimension ref="A1:G27"/>
  <sheetViews>
    <sheetView tabSelected="1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2.7109375" customWidth="1"/>
    <col min="2" max="2" width="16.7109375" customWidth="1"/>
    <col min="3" max="3" width="11.7109375" customWidth="1"/>
    <col min="4" max="4" width="13.7109375" customWidth="1"/>
    <col min="5" max="5" width="11.7109375" customWidth="1"/>
    <col min="6" max="6" width="10.7109375" customWidth="1"/>
    <col min="7" max="7" width="11.7109375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x14ac:dyDescent="0.25">
      <c r="A4" t="s">
        <v>9</v>
      </c>
      <c r="B4" t="s">
        <v>10</v>
      </c>
      <c r="C4">
        <v>134</v>
      </c>
      <c r="D4">
        <v>96</v>
      </c>
      <c r="E4">
        <v>30</v>
      </c>
      <c r="F4">
        <v>8</v>
      </c>
      <c r="G4" s="3">
        <f>D4/C4</f>
        <v>0.7164179104477612</v>
      </c>
    </row>
    <row r="5" spans="1:7" x14ac:dyDescent="0.25">
      <c r="A5" t="s">
        <v>9</v>
      </c>
      <c r="B5" t="s">
        <v>11</v>
      </c>
      <c r="C5">
        <v>162</v>
      </c>
      <c r="D5">
        <v>127</v>
      </c>
      <c r="E5">
        <v>31</v>
      </c>
      <c r="F5">
        <v>4</v>
      </c>
      <c r="G5" s="3">
        <f>D5/C5</f>
        <v>0.7839506172839507</v>
      </c>
    </row>
    <row r="6" spans="1:7" x14ac:dyDescent="0.25">
      <c r="A6" t="s">
        <v>9</v>
      </c>
      <c r="B6" t="s">
        <v>12</v>
      </c>
      <c r="C6">
        <v>131</v>
      </c>
      <c r="D6">
        <v>99</v>
      </c>
      <c r="E6">
        <v>30</v>
      </c>
      <c r="F6">
        <v>2</v>
      </c>
      <c r="G6" s="3">
        <f>D6/C6</f>
        <v>0.7557251908396947</v>
      </c>
    </row>
    <row r="7" spans="1:7" x14ac:dyDescent="0.25">
      <c r="A7" t="s">
        <v>13</v>
      </c>
      <c r="B7" t="s">
        <v>10</v>
      </c>
      <c r="C7">
        <v>26</v>
      </c>
      <c r="D7">
        <v>21</v>
      </c>
      <c r="E7">
        <v>4</v>
      </c>
      <c r="F7">
        <v>1</v>
      </c>
      <c r="G7" s="3">
        <f>D7/C7</f>
        <v>0.8076923076923077</v>
      </c>
    </row>
    <row r="8" spans="1:7" x14ac:dyDescent="0.25">
      <c r="A8" t="s">
        <v>13</v>
      </c>
      <c r="B8" t="s">
        <v>11</v>
      </c>
      <c r="C8">
        <v>10</v>
      </c>
      <c r="D8">
        <v>9</v>
      </c>
      <c r="E8">
        <v>1</v>
      </c>
      <c r="F8">
        <v>0</v>
      </c>
      <c r="G8" s="3">
        <f>D8/C8</f>
        <v>0.9</v>
      </c>
    </row>
    <row r="9" spans="1:7" x14ac:dyDescent="0.25">
      <c r="A9" t="s">
        <v>13</v>
      </c>
      <c r="B9" t="s">
        <v>12</v>
      </c>
      <c r="C9">
        <v>6</v>
      </c>
      <c r="D9">
        <v>3</v>
      </c>
      <c r="E9">
        <v>3</v>
      </c>
      <c r="F9">
        <v>0</v>
      </c>
      <c r="G9" s="3">
        <f>D9/C9</f>
        <v>0.5</v>
      </c>
    </row>
    <row r="10" spans="1:7" x14ac:dyDescent="0.25">
      <c r="A10" t="s">
        <v>14</v>
      </c>
      <c r="B10" t="s">
        <v>10</v>
      </c>
      <c r="C10">
        <v>36</v>
      </c>
      <c r="D10">
        <v>29</v>
      </c>
      <c r="E10">
        <v>6</v>
      </c>
      <c r="F10">
        <v>1</v>
      </c>
      <c r="G10" s="3">
        <f>D10/C10</f>
        <v>0.8055555555555556</v>
      </c>
    </row>
    <row r="11" spans="1:7" x14ac:dyDescent="0.25">
      <c r="A11" t="s">
        <v>14</v>
      </c>
      <c r="B11" t="s">
        <v>11</v>
      </c>
      <c r="C11">
        <v>24</v>
      </c>
      <c r="D11">
        <v>16</v>
      </c>
      <c r="E11">
        <v>7</v>
      </c>
      <c r="F11">
        <v>1</v>
      </c>
      <c r="G11" s="3">
        <f>D11/C11</f>
        <v>0.6666666666666666</v>
      </c>
    </row>
    <row r="12" spans="1:7" x14ac:dyDescent="0.25">
      <c r="A12" t="s">
        <v>14</v>
      </c>
      <c r="B12" t="s">
        <v>12</v>
      </c>
      <c r="C12">
        <v>14</v>
      </c>
      <c r="D12">
        <v>12</v>
      </c>
      <c r="E12">
        <v>2</v>
      </c>
      <c r="F12">
        <v>0</v>
      </c>
      <c r="G12" s="3">
        <f>D12/C12</f>
        <v>0.8571428571428571</v>
      </c>
    </row>
    <row r="13" spans="1:7" x14ac:dyDescent="0.25">
      <c r="A13" t="s">
        <v>15</v>
      </c>
      <c r="B13" t="s">
        <v>10</v>
      </c>
      <c r="C13">
        <v>35</v>
      </c>
      <c r="D13">
        <v>33</v>
      </c>
      <c r="E13">
        <v>2</v>
      </c>
      <c r="F13">
        <v>0</v>
      </c>
      <c r="G13" s="3">
        <f>D13/C13</f>
        <v>0.9428571428571428</v>
      </c>
    </row>
    <row r="14" spans="1:7" x14ac:dyDescent="0.25">
      <c r="A14" t="s">
        <v>15</v>
      </c>
      <c r="B14" t="s">
        <v>11</v>
      </c>
      <c r="C14">
        <v>24</v>
      </c>
      <c r="D14">
        <v>16</v>
      </c>
      <c r="E14">
        <v>8</v>
      </c>
      <c r="F14">
        <v>0</v>
      </c>
      <c r="G14" s="3">
        <f>D14/C14</f>
        <v>0.6666666666666666</v>
      </c>
    </row>
    <row r="15" spans="1:7" x14ac:dyDescent="0.25">
      <c r="A15" t="s">
        <v>15</v>
      </c>
      <c r="B15" t="s">
        <v>12</v>
      </c>
      <c r="C15">
        <v>21</v>
      </c>
      <c r="D15">
        <v>19</v>
      </c>
      <c r="E15">
        <v>2</v>
      </c>
      <c r="F15">
        <v>0</v>
      </c>
      <c r="G15" s="3">
        <f>D15/C15</f>
        <v>0.9047619047619048</v>
      </c>
    </row>
    <row r="16" spans="1:7" x14ac:dyDescent="0.25">
      <c r="A16" t="s">
        <v>16</v>
      </c>
      <c r="B16" t="s">
        <v>10</v>
      </c>
      <c r="C16">
        <v>11</v>
      </c>
      <c r="D16">
        <v>9</v>
      </c>
      <c r="E16">
        <v>2</v>
      </c>
      <c r="F16">
        <v>0</v>
      </c>
      <c r="G16" s="3">
        <f>D16/C16</f>
        <v>0.8181818181818182</v>
      </c>
    </row>
    <row r="17" spans="1:7" x14ac:dyDescent="0.25">
      <c r="A17" t="s">
        <v>16</v>
      </c>
      <c r="B17" t="s">
        <v>11</v>
      </c>
      <c r="C17">
        <v>4</v>
      </c>
      <c r="D17">
        <v>2</v>
      </c>
      <c r="E17">
        <v>1</v>
      </c>
      <c r="F17">
        <v>1</v>
      </c>
      <c r="G17" s="3">
        <f>D17/C17</f>
        <v>0.5</v>
      </c>
    </row>
    <row r="18" spans="1:7" x14ac:dyDescent="0.25">
      <c r="A18" t="s">
        <v>16</v>
      </c>
      <c r="B18" t="s">
        <v>12</v>
      </c>
      <c r="C18">
        <v>6</v>
      </c>
      <c r="D18">
        <v>4</v>
      </c>
      <c r="E18">
        <v>1</v>
      </c>
      <c r="F18">
        <v>1</v>
      </c>
      <c r="G18" s="3">
        <f>D18/C18</f>
        <v>0.6666666666666666</v>
      </c>
    </row>
    <row r="19" spans="1:7" x14ac:dyDescent="0.25">
      <c r="A19" t="s">
        <v>17</v>
      </c>
      <c r="B19" t="s">
        <v>10</v>
      </c>
      <c r="C19">
        <v>17</v>
      </c>
      <c r="D19">
        <v>15</v>
      </c>
      <c r="E19">
        <v>1</v>
      </c>
      <c r="F19">
        <v>1</v>
      </c>
      <c r="G19" s="3">
        <f>D19/C19</f>
        <v>0.8823529411764706</v>
      </c>
    </row>
    <row r="20" spans="1:7" x14ac:dyDescent="0.25">
      <c r="A20" t="s">
        <v>17</v>
      </c>
      <c r="B20" t="s">
        <v>12</v>
      </c>
      <c r="C20">
        <v>6</v>
      </c>
      <c r="D20">
        <v>2</v>
      </c>
      <c r="E20">
        <v>3</v>
      </c>
      <c r="F20">
        <v>1</v>
      </c>
      <c r="G20" s="3">
        <f>D20/C20</f>
        <v>0.3333333333333333</v>
      </c>
    </row>
    <row r="21" spans="1:7" x14ac:dyDescent="0.25">
      <c r="A21" t="s">
        <v>18</v>
      </c>
      <c r="B21" t="s">
        <v>10</v>
      </c>
      <c r="C21">
        <v>46</v>
      </c>
      <c r="D21">
        <v>42</v>
      </c>
      <c r="E21">
        <v>4</v>
      </c>
      <c r="F21">
        <v>0</v>
      </c>
      <c r="G21" s="3">
        <f>D21/C21</f>
        <v>0.9130434782608695</v>
      </c>
    </row>
    <row r="22" spans="1:7" x14ac:dyDescent="0.25">
      <c r="A22" t="s">
        <v>18</v>
      </c>
      <c r="B22" t="s">
        <v>11</v>
      </c>
      <c r="C22">
        <v>38</v>
      </c>
      <c r="D22">
        <v>32</v>
      </c>
      <c r="E22">
        <v>5</v>
      </c>
      <c r="F22">
        <v>1</v>
      </c>
      <c r="G22" s="3">
        <f>D22/C22</f>
        <v>0.8421052631578947</v>
      </c>
    </row>
    <row r="23" spans="1:7" x14ac:dyDescent="0.25">
      <c r="A23" t="s">
        <v>18</v>
      </c>
      <c r="B23" t="s">
        <v>12</v>
      </c>
      <c r="C23">
        <v>30</v>
      </c>
      <c r="D23">
        <v>24</v>
      </c>
      <c r="E23">
        <v>4</v>
      </c>
      <c r="F23">
        <v>2</v>
      </c>
      <c r="G23" s="3">
        <f>D23/C23</f>
        <v>0.8</v>
      </c>
    </row>
    <row r="24" spans="1:7" x14ac:dyDescent="0.25">
      <c r="A24" t="s">
        <v>19</v>
      </c>
      <c r="B24" t="s">
        <v>10</v>
      </c>
      <c r="C24">
        <v>3</v>
      </c>
      <c r="D24">
        <v>3</v>
      </c>
      <c r="E24">
        <v>0</v>
      </c>
      <c r="F24">
        <v>0</v>
      </c>
      <c r="G24" s="3">
        <f>D24/C24</f>
        <v>1</v>
      </c>
    </row>
    <row r="25" spans="1:7" x14ac:dyDescent="0.25">
      <c r="A25" t="s">
        <v>19</v>
      </c>
      <c r="B25" t="s">
        <v>11</v>
      </c>
      <c r="C25">
        <v>8</v>
      </c>
      <c r="D25">
        <v>6</v>
      </c>
      <c r="E25">
        <v>1</v>
      </c>
      <c r="F25">
        <v>1</v>
      </c>
      <c r="G25" s="3">
        <f>D25/C25</f>
        <v>0.75</v>
      </c>
    </row>
    <row r="26" spans="1:7" x14ac:dyDescent="0.25">
      <c r="A26" t="s">
        <v>19</v>
      </c>
      <c r="B26" t="s">
        <v>12</v>
      </c>
      <c r="C26">
        <v>4</v>
      </c>
      <c r="D26">
        <v>3</v>
      </c>
      <c r="E26">
        <v>1</v>
      </c>
      <c r="F26">
        <v>0</v>
      </c>
      <c r="G26" s="3">
        <f>D26/C26</f>
        <v>0.75</v>
      </c>
    </row>
    <row r="27" spans="1:7" x14ac:dyDescent="0.25">
      <c r="A27" s="4" t="s">
        <v>20</v>
      </c>
      <c r="B27" s="4"/>
      <c r="C27" s="4">
        <f>SUM(C4:C26)</f>
        <v>796</v>
      </c>
      <c r="D27" s="4">
        <f>SUM(D4:D26)</f>
        <v>622</v>
      </c>
      <c r="E27" s="4">
        <f>SUM(E4:E26)</f>
        <v>149</v>
      </c>
      <c r="F27" s="4">
        <f>SUM(F4:F26)</f>
        <v>25</v>
      </c>
      <c r="G27" s="5">
        <f>D27/C27</f>
        <v>0.7814070351758794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compliance</vt:lpstr>
    </vt:vector>
  </TitlesOfParts>
  <Company>Tarrock Hydro Distribution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Villanueva</dc:creator>
  <cp:lastModifiedBy>Kurt Allison</cp:lastModifiedBy>
  <dcterms:created xsi:type="dcterms:W3CDTF">2026-02-03T15:25:09Z</dcterms:created>
  <dcterms:modified xsi:type="dcterms:W3CDTF">2026-02-27T20:05:52Z</dcterms:modified>
</cp:coreProperties>
</file>