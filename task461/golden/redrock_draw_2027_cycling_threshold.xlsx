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 threshold" sheetId="1" state="visible" r:id="rId1"/>
    <sheet xmlns:r="http://schemas.openxmlformats.org/officeDocument/2006/relationships" name="2026 operation" sheetId="2" state="visible" r:id="rId2"/>
    <sheet xmlns:r="http://schemas.openxmlformats.org/officeDocument/2006/relationships" name="Cycle chart" sheetId="3" state="visible" r:id="rId3"/>
    <sheet xmlns:r="http://schemas.openxmlformats.org/officeDocument/2006/relationships" name="Sources" sheetId="4" state="visible" r:id="rId4"/>
  </sheets>
  <definedNames/>
  <calcPr calcId="124519" fullCalcOnLoad="1"/>
</workbook>
</file>

<file path=xl/sharedStrings.xml><?xml version="1.0" encoding="utf-8"?>
<sst xmlns="http://schemas.openxmlformats.org/spreadsheetml/2006/main" count="87" uniqueCount="81">
  <si>
    <t>Redrock Draw 2027 cycling threshold: $20 per MWh</t>
  </si>
  <si>
    <t>Expected 2027 cycling days at each setting on the trading system's menu (TRD-STOR-PARAM-07), against the warranty's Annual Cycle Limit of 300 Full Cycles; the lowest setting within it is the threshold (policy TSP-OPS-014, 4.2).</t>
  </si>
  <si>
    <t>Setting ($/MWh)</t>
  </si>
  <si>
    <t>Expected 2027 cycling days</t>
  </si>
  <si>
    <t>Within 300</t>
  </si>
  <si>
    <t>No</t>
  </si>
  <si>
    <t>Yes</t>
  </si>
  <si>
    <t>Threshold for 2027</t>
  </si>
  <si>
    <t>$20 per MWh</t>
  </si>
  <si>
    <t>Expected 2027 cycling days at $20</t>
  </si>
  <si>
    <t>Next setting down</t>
  </si>
  <si>
    <t>$15 per MWh: 323 expected cycling days, over the 300 limit</t>
  </si>
  <si>
    <t>Basis. The node's daily spread over MPI's day-ahead record from 2019-01-01 to 2026-11-02 (2,863 operating days): the node's own spread on the 323 days MPI priced it at its own settlement point (2025-12-15 to 2026-11-02), and on every other day 2.21 times the North Hub's spread, the ratio of the node's total spread to the hub's over those 323 days. Expected cycling days are 365 times the share of the record's days whose spread is at or above the setting.</t>
  </si>
  <si>
    <t>The node's own days since MPI first priced it are one windy stretch: a third of the hub's 2026 days had a spread under $8, against 11 to 16 per cent in 2019 and 2021 to 2025 (31 per cent in 2020), while its average spread was ordinary. Set from the node's own days alone, the threshold would be $15 (266 expected days at $15).</t>
  </si>
  <si>
    <t>Spread: the average of the four highest hourly day-ahead prices on the operating day less the average of the four lowest (policy 2.2). The node's first 13 days, priced at the hub's price, are left out of the ratio.</t>
  </si>
  <si>
    <t>North Hub by year</t>
  </si>
  <si>
    <t>Average daily spread ($/MWh)</t>
  </si>
  <si>
    <t>Days with a spread under $8 (%)</t>
  </si>
  <si>
    <t>2019</t>
  </si>
  <si>
    <t>2020</t>
  </si>
  <si>
    <t>2021</t>
  </si>
  <si>
    <t>2022</t>
  </si>
  <si>
    <t>2023</t>
  </si>
  <si>
    <t>2024</t>
  </si>
  <si>
    <t>2025</t>
  </si>
  <si>
    <t>2026 (to 2 November)</t>
  </si>
  <si>
    <t>Source: mpi_dam_settlement_point_prices_north_hub_2019_2026.csv; the windy stretches (autumn 2019 to autumn 2020, autumn 2025 onward) carry the flat days; 2021 fell back to the ordinary share.</t>
  </si>
  <si>
    <t>Redrock Draw 2026 operation at the $35 threshold: Full Cycles and day-ahead net by month</t>
  </si>
  <si>
    <t>Full Cycles as the warranty counts them (Schedule 4): DC discharge recorded by the BMS for each hour, the Revenue Meter's delivered energy over 0.975 for the hours the BMS export lost, the capacity tests left out; contract months in Central prevailing time. Day-ahead net: the latest statement line for each hour and charge type, MPI's sign reversed, the administrative fee once per operating day.</t>
  </si>
  <si>
    <t>Month (2026)</t>
  </si>
  <si>
    <t>Full Cycles</t>
  </si>
  <si>
    <t>Cumulative Full Cycles</t>
  </si>
  <si>
    <t>Pace to 300 by 31 December</t>
  </si>
  <si>
    <t>Day-ahead net after MPI fees ($ thousands)</t>
  </si>
  <si>
    <t>January</t>
  </si>
  <si>
    <t>February</t>
  </si>
  <si>
    <t>March</t>
  </si>
  <si>
    <t>April</t>
  </si>
  <si>
    <t>May</t>
  </si>
  <si>
    <t>June</t>
  </si>
  <si>
    <t>July</t>
  </si>
  <si>
    <t>August</t>
  </si>
  <si>
    <t>September</t>
  </si>
  <si>
    <t>October</t>
  </si>
  <si>
    <t>January to October</t>
  </si>
  <si>
    <t>Day-ahead net per Full Cycle, January to October, from the unrounded totals ($)</t>
  </si>
  <si>
    <t>Hours the meter recorded the battery discharging while the BMS export shows zero energy and its last state held (UTC hour beginning), counted at the meter under warranty 4.3:</t>
  </si>
  <si>
    <t>2026-01-31 00:00 to 2026-01-31 03:00 UTC (3 hours)</t>
  </si>
  <si>
    <t>2026-02-05 00:00 to 2026-02-05 03:00 UTC (3 hours)</t>
  </si>
  <si>
    <t>2026-03-17 22:00 to 2026-03-17 23:00 UTC (1 hour)</t>
  </si>
  <si>
    <t>2026-04-10 01:00 to 2026-04-10 02:00 UTC (1 hour)</t>
  </si>
  <si>
    <t>2026-05-28 22:00 to 2026-05-28 23:00 UTC (1 hour)</t>
  </si>
  <si>
    <t>2026-06-04 22:00 to 2026-06-05 01:00 UTC (3 hours)</t>
  </si>
  <si>
    <t>2026-07-20 22:00 to 2026-07-21 01:00 UTC (3 hours)</t>
  </si>
  <si>
    <t>2026-08-21 22:00 to 2026-08-22 01:00 UTC (3 hours)</t>
  </si>
  <si>
    <t>2026-09-12 22:00 to 2026-09-13 02:00 UTC (4 hours)</t>
  </si>
  <si>
    <t>2026-09-18 22:00 to 2026-09-19 00:00 UTC (2 hours)</t>
  </si>
  <si>
    <t>2026-10-02 23:00 to 2026-10-03 02:00 UTC (3 hours)</t>
  </si>
  <si>
    <t>Capacity tests left out: 2026-03-12 (TEST) and 2026-09-14 (MAINT after the June firmware update), Cordell reports CT-RDRW-2026-01 and -02.</t>
  </si>
  <si>
    <t>2026 Full Cycles to date against the warranty's 300</t>
  </si>
  <si>
    <t>File</t>
  </si>
  <si>
    <t>Used for</t>
  </si>
  <si>
    <t>mpi_dam_settlement_point_prices_north_hub_2019_2026.csv</t>
  </si>
  <si>
    <t>the North Hub's daily spreads, 2019 to 2026</t>
  </si>
  <si>
    <t>mpi_dam_settlement_point_prices_redrock_2025_2026.csv</t>
  </si>
  <si>
    <t>the node's daily spreads since MPI first priced it</t>
  </si>
  <si>
    <t>mpi_settlement_point_list_2026.csv</t>
  </si>
  <si>
    <t>the node's two names and its first days at the hub's price</t>
  </si>
  <si>
    <t>tallgrove_storage_dispatch_policy_2026.pdf</t>
  </si>
  <si>
    <t>the spread, the cycling rule, the menu and the threshold rule</t>
  </si>
  <si>
    <t>redrock_draw_supply_warranty_excerpt.pdf</t>
  </si>
  <si>
    <t>the Annual Cycle Limit and how Full Cycles are counted</t>
  </si>
  <si>
    <t>redrock_draw_bms_hourly_export_2026.csv</t>
  </si>
  <si>
    <t>the DC discharge by hour</t>
  </si>
  <si>
    <t>redrock_draw_revenue_meter_15min_2026.csv</t>
  </si>
  <si>
    <t>the delivered energy for the hours the BMS export lost</t>
  </si>
  <si>
    <t>cordell_capacity_tests_2026.pdf</t>
  </si>
  <si>
    <t>the capacity tests' discharge windows</t>
  </si>
  <si>
    <t>redrock_draw_dam_settlement_statement_lines_2026.csv</t>
  </si>
  <si>
    <t>the day-ahead net</t>
  </si>
  <si>
    <t>Prepared by Hailey Cooper, Market Analyst, for the 2027 operating parameters due 1 December 2026.</t>
  </si>
</sst>
</file>

<file path=xl/styles.xml><?xml version="1.0" encoding="utf-8"?>
<styleSheet xmlns="http://schemas.openxmlformats.org/spreadsheetml/2006/main">
  <numFmts count="4">
    <numFmt numFmtId="164" formatCode="&quot;$&quot;0"/>
    <numFmt numFmtId="165" formatCode="0.0"/>
    <numFmt numFmtId="166" formatCode="#,##0.0"/>
    <numFmt numFmtId="167" formatCode="&quot;$&quot;#,##0"/>
  </numFmts>
  <fonts count="4">
    <font>
      <name val="Calibri"/>
      <family val="2"/>
      <color theme="1"/>
      <sz val="11"/>
      <scheme val="minor"/>
    </font>
    <font>
      <name val="Calibri"/>
      <b val="1"/>
      <color rgb="008A3B12"/>
      <sz val="14"/>
    </font>
    <font>
      <name val="Calibri"/>
      <i val="1"/>
      <color rgb="005A5F66"/>
      <sz val="9"/>
    </font>
    <font>
      <name val="Calibri"/>
      <b val="1"/>
      <sz val="11"/>
    </font>
  </fonts>
  <fills count="4">
    <fill>
      <patternFill/>
    </fill>
    <fill>
      <patternFill patternType="gray125"/>
    </fill>
    <fill>
      <patternFill patternType="solid">
        <fgColor rgb="00FBE5D6"/>
      </patternFill>
    </fill>
    <fill>
      <patternFill patternType="solid">
        <fgColor rgb="00FFF2CC"/>
      </patternFill>
    </fill>
  </fills>
  <borders count="2">
    <border>
      <left/>
      <right/>
      <top/>
      <bottom/>
      <diagonal/>
    </border>
    <border>
      <bottom style="thin">
        <color rgb="009AA0A6"/>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164" fontId="0" fillId="0" borderId="0" pivotButton="0" quotePrefix="0" xfId="0"/>
    <xf numFmtId="1" fontId="0" fillId="0" borderId="0" pivotButton="0" quotePrefix="0" xfId="0"/>
    <xf numFmtId="0" fontId="0" fillId="0" borderId="0" applyAlignment="1" pivotButton="0" quotePrefix="0" xfId="0">
      <alignment horizontal="center"/>
    </xf>
    <xf numFmtId="164" fontId="3" fillId="3" borderId="0" pivotButton="0" quotePrefix="0" xfId="0"/>
    <xf numFmtId="1" fontId="3" fillId="3" borderId="0" pivotButton="0" quotePrefix="0" xfId="0"/>
    <xf numFmtId="0" fontId="3" fillId="3" borderId="0" applyAlignment="1" pivotButton="0" quotePrefix="0" xfId="0">
      <alignment horizontal="center"/>
    </xf>
    <xf numFmtId="0" fontId="3" fillId="0" borderId="0" pivotButton="0" quotePrefix="0" xfId="0"/>
    <xf numFmtId="0" fontId="2" fillId="0" borderId="0" applyAlignment="1" pivotButton="0" quotePrefix="0" xfId="0">
      <alignment vertical="top" wrapText="1"/>
    </xf>
    <xf numFmtId="2" fontId="0" fillId="0" borderId="0" pivotButton="0" quotePrefix="0" xfId="0"/>
    <xf numFmtId="165" fontId="0" fillId="0" borderId="0" pivotButton="0" quotePrefix="0" xfId="0"/>
    <xf numFmtId="166" fontId="0" fillId="0" borderId="0" pivotButton="0" quotePrefix="0" xfId="0"/>
    <xf numFmtId="2" fontId="3" fillId="0" borderId="0" pivotButton="0" quotePrefix="0" xfId="0"/>
    <xf numFmtId="166" fontId="3" fillId="0" borderId="0" pivotButton="0" quotePrefix="0" xfId="0"/>
    <xf numFmtId="167" fontId="0"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 Type="http://schemas.openxmlformats.org/officeDocument/2006/relationships/sharedStrings" Target="sharedStrings.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2026 Full Cycles at each month's end, against the pace to 300 by 31 December</a:t>
            </a:r>
          </a:p>
        </rich>
      </tx>
    </title>
    <plotArea>
      <barChart>
        <barDir val="col"/>
        <grouping val="clustered"/>
        <ser>
          <idx val="0"/>
          <order val="0"/>
          <tx>
            <strRef>
              <f>'2026 operation'!C4</f>
            </strRef>
          </tx>
          <spPr>
            <a:ln xmlns:a="http://schemas.openxmlformats.org/drawingml/2006/main">
              <a:prstDash val="solid"/>
            </a:ln>
          </spPr>
          <cat>
            <numRef>
              <f>'2026 operation'!$A$5:$A$14</f>
            </numRef>
          </cat>
          <val>
            <numRef>
              <f>'2026 operation'!$C$5:$C$14</f>
            </numRef>
          </val>
        </ser>
        <gapWidth val="150"/>
        <axId val="10"/>
        <axId val="100"/>
      </barChart>
      <lineChart>
        <grouping val="standard"/>
        <ser>
          <idx val="1"/>
          <order val="1"/>
          <tx>
            <strRef>
              <f>'2026 operation'!D4</f>
            </strRef>
          </tx>
          <spPr>
            <a:ln xmlns:a="http://schemas.openxmlformats.org/drawingml/2006/main">
              <a:prstDash val="solid"/>
            </a:ln>
          </spPr>
          <marker>
            <symbol val="none"/>
            <spPr>
              <a:ln xmlns:a="http://schemas.openxmlformats.org/drawingml/2006/main">
                <a:prstDash val="solid"/>
              </a:ln>
            </spPr>
          </marker>
          <cat>
            <numRef>
              <f>'2026 operation'!$A$5:$A$14</f>
            </numRef>
          </cat>
          <val>
            <numRef>
              <f>'2026 operation'!$D$5:$D$14</f>
            </numRef>
          </val>
        </ser>
        <axId val="10"/>
        <axId val="100"/>
      </lineChart>
      <catAx>
        <axId val="10"/>
        <scaling>
          <orientation val="minMax"/>
        </scaling>
        <axPos val="l"/>
        <title>
          <tx>
            <rich>
              <a:bodyPr xmlns:a="http://schemas.openxmlformats.org/drawingml/2006/main"/>
              <a:p xmlns:a="http://schemas.openxmlformats.org/drawingml/2006/main">
                <a:pPr>
                  <a:defRPr/>
                </a:pPr>
                <a:r>
                  <a:t>Month end, 2026</a:t>
                </a:r>
              </a:p>
            </rich>
          </tx>
        </title>
        <majorTickMark val="none"/>
        <minorTickMark val="none"/>
        <crossAx val="100"/>
        <lblOffset val="100"/>
      </catAx>
      <valAx>
        <axId val="100"/>
        <scaling>
          <orientation val="minMax"/>
          <max val="300"/>
          <min val="0"/>
        </scaling>
        <axPos val="l"/>
        <majorGridlines/>
        <title>
          <tx>
            <rich>
              <a:bodyPr xmlns:a="http://schemas.openxmlformats.org/drawingml/2006/main"/>
              <a:p xmlns:a="http://schemas.openxmlformats.org/drawingml/2006/main">
                <a:pPr>
                  <a:defRPr/>
                </a:pPr>
                <a:r>
                  <a:t>Full Cycles</a:t>
                </a:r>
              </a:p>
            </rich>
          </tx>
        </title>
        <majorTickMark val="none"/>
        <minorTickMark val="none"/>
        <crossAx val="10"/>
      </valAx>
    </plotArea>
    <legend>
      <legendPos val="r"/>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31"/>
  <sheetViews>
    <sheetView workbookViewId="0">
      <pane ySplit="4" topLeftCell="A5" activePane="bottomLeft" state="frozen"/>
      <selection pane="bottomLeft" activeCell="A1" sqref="A1"/>
    </sheetView>
  </sheetViews>
  <sheetFormatPr baseColWidth="8" defaultRowHeight="15"/>
  <cols>
    <col width="38" customWidth="1" min="1" max="1"/>
    <col width="30" customWidth="1" min="2" max="2"/>
    <col width="14" customWidth="1" min="3" max="3"/>
  </cols>
  <sheetData>
    <row r="1">
      <c r="A1" s="1" t="s">
        <v>0</v>
      </c>
    </row>
    <row r="2">
      <c r="A2" s="2" t="s">
        <v>1</v>
      </c>
    </row>
    <row r="4">
      <c r="A4" s="3" t="s">
        <v>2</v>
      </c>
      <c r="B4" s="3" t="s">
        <v>3</v>
      </c>
      <c r="C4" s="3" t="s">
        <v>4</v>
      </c>
    </row>
    <row r="5">
      <c r="A5" s="4" t="n">
        <v>5</v>
      </c>
      <c r="B5" s="5" t="n">
        <v>365</v>
      </c>
      <c r="C5" s="6" t="s">
        <v>5</v>
      </c>
    </row>
    <row r="6">
      <c r="A6" s="4" t="n">
        <v>10</v>
      </c>
      <c r="B6" s="5" t="n">
        <v>355</v>
      </c>
      <c r="C6" s="6" t="s">
        <v>5</v>
      </c>
    </row>
    <row r="7">
      <c r="A7" s="4" t="n">
        <v>15</v>
      </c>
      <c r="B7" s="5" t="n">
        <v>323</v>
      </c>
      <c r="C7" s="6" t="s">
        <v>5</v>
      </c>
    </row>
    <row r="8">
      <c r="A8" s="7" t="n">
        <v>20</v>
      </c>
      <c r="B8" s="8" t="n">
        <v>275</v>
      </c>
      <c r="C8" s="9" t="s">
        <v>6</v>
      </c>
    </row>
    <row r="9">
      <c r="A9" s="4" t="n">
        <v>25</v>
      </c>
      <c r="B9" s="5" t="n">
        <v>224</v>
      </c>
      <c r="C9" s="6" t="s">
        <v>6</v>
      </c>
    </row>
    <row r="10">
      <c r="A10" s="4" t="n">
        <v>30</v>
      </c>
      <c r="B10" s="5" t="n">
        <v>176</v>
      </c>
      <c r="C10" s="6" t="s">
        <v>6</v>
      </c>
    </row>
    <row r="11">
      <c r="A11" s="4" t="n">
        <v>35</v>
      </c>
      <c r="B11" s="5" t="n">
        <v>138</v>
      </c>
      <c r="C11" s="6" t="s">
        <v>6</v>
      </c>
    </row>
    <row r="12">
      <c r="A12" s="4" t="n">
        <v>40</v>
      </c>
      <c r="B12" s="5" t="n">
        <v>113</v>
      </c>
      <c r="C12" s="6" t="s">
        <v>6</v>
      </c>
    </row>
    <row r="14">
      <c r="A14" s="10" t="s">
        <v>7</v>
      </c>
      <c r="B14" t="s">
        <v>8</v>
      </c>
    </row>
    <row r="15">
      <c r="A15" s="10" t="s">
        <v>9</v>
      </c>
      <c r="B15" t="n">
        <v>275</v>
      </c>
    </row>
    <row r="16">
      <c r="A16" s="10" t="s">
        <v>10</v>
      </c>
      <c r="B16" t="s">
        <v>11</v>
      </c>
    </row>
    <row r="18" ht="62" customHeight="1">
      <c r="A18" s="11" t="s">
        <v>12</v>
      </c>
    </row>
    <row r="19" ht="62" customHeight="1">
      <c r="A19" s="11" t="s">
        <v>13</v>
      </c>
    </row>
    <row r="20" ht="62" customHeight="1">
      <c r="A20" s="11" t="s">
        <v>14</v>
      </c>
    </row>
    <row r="22">
      <c r="A22" s="3" t="s">
        <v>15</v>
      </c>
      <c r="B22" s="3" t="s">
        <v>16</v>
      </c>
      <c r="C22" s="3" t="s">
        <v>17</v>
      </c>
    </row>
    <row r="23">
      <c r="A23" t="s">
        <v>18</v>
      </c>
      <c r="B23" s="12" t="n">
        <v>18.22</v>
      </c>
      <c r="C23" t="n">
        <v>16</v>
      </c>
    </row>
    <row r="24">
      <c r="A24" t="s">
        <v>19</v>
      </c>
      <c r="B24" s="12" t="n">
        <v>18.41</v>
      </c>
      <c r="C24" t="n">
        <v>31</v>
      </c>
    </row>
    <row r="25">
      <c r="A25" t="s">
        <v>20</v>
      </c>
      <c r="B25" s="12" t="n">
        <v>16.17</v>
      </c>
      <c r="C25" t="n">
        <v>14</v>
      </c>
    </row>
    <row r="26">
      <c r="A26" t="s">
        <v>21</v>
      </c>
      <c r="B26" s="12" t="n">
        <v>16.46</v>
      </c>
      <c r="C26" t="n">
        <v>15</v>
      </c>
    </row>
    <row r="27">
      <c r="A27" t="s">
        <v>22</v>
      </c>
      <c r="B27" s="12" t="n">
        <v>16.24</v>
      </c>
      <c r="C27" t="n">
        <v>11</v>
      </c>
    </row>
    <row r="28">
      <c r="A28" t="s">
        <v>23</v>
      </c>
      <c r="B28" s="12" t="n">
        <v>19.14</v>
      </c>
      <c r="C28" t="n">
        <v>12</v>
      </c>
    </row>
    <row r="29">
      <c r="A29" t="s">
        <v>24</v>
      </c>
      <c r="B29" s="12" t="n">
        <v>17.58</v>
      </c>
      <c r="C29" t="n">
        <v>15</v>
      </c>
    </row>
    <row r="30">
      <c r="A30" t="s">
        <v>25</v>
      </c>
      <c r="B30" s="12" t="n">
        <v>16.9</v>
      </c>
      <c r="C30" t="n">
        <v>34</v>
      </c>
    </row>
    <row r="31">
      <c r="A31" s="2" t="s">
        <v>26</v>
      </c>
    </row>
  </sheetData>
  <mergeCells count="3">
    <mergeCell ref="A18:C18"/>
    <mergeCell ref="A20:C20"/>
    <mergeCell ref="A19:C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6" customWidth="1" min="3" max="3"/>
    <col width="18" customWidth="1" min="4" max="4"/>
    <col width="22" customWidth="1" min="5" max="5"/>
  </cols>
  <sheetData>
    <row r="1">
      <c r="A1" s="1" t="s">
        <v>27</v>
      </c>
    </row>
    <row r="2" ht="58" customHeight="1">
      <c r="A2" s="11" t="s">
        <v>28</v>
      </c>
    </row>
    <row r="4" ht="32" customHeight="1">
      <c r="A4" s="3" t="s">
        <v>29</v>
      </c>
      <c r="B4" s="3" t="s">
        <v>30</v>
      </c>
      <c r="C4" s="3" t="s">
        <v>31</v>
      </c>
      <c r="D4" s="3" t="s">
        <v>32</v>
      </c>
      <c r="E4" s="3" t="s">
        <v>33</v>
      </c>
    </row>
    <row r="5">
      <c r="A5" t="s">
        <v>34</v>
      </c>
      <c r="B5" s="12" t="n">
        <v>7.95</v>
      </c>
      <c r="C5" s="12" t="n">
        <v>7.95</v>
      </c>
      <c r="D5" s="13" t="n">
        <v>25.5</v>
      </c>
      <c r="E5" s="14" t="n">
        <v>268.9</v>
      </c>
    </row>
    <row r="6">
      <c r="A6" t="s">
        <v>35</v>
      </c>
      <c r="B6" s="12" t="n">
        <v>2.98</v>
      </c>
      <c r="C6" s="12" t="n">
        <v>10.93</v>
      </c>
      <c r="D6" s="13" t="n">
        <v>48.5</v>
      </c>
      <c r="E6" s="14" t="n">
        <v>113.9</v>
      </c>
    </row>
    <row r="7">
      <c r="A7" t="s">
        <v>36</v>
      </c>
      <c r="B7" s="12" t="n">
        <v>4.98</v>
      </c>
      <c r="C7" s="12" t="n">
        <v>15.9</v>
      </c>
      <c r="D7" s="13" t="n">
        <v>74</v>
      </c>
      <c r="E7" s="14" t="n">
        <v>325.2</v>
      </c>
    </row>
    <row r="8">
      <c r="A8" t="s">
        <v>37</v>
      </c>
      <c r="B8" s="12" t="n">
        <v>5.99</v>
      </c>
      <c r="C8" s="12" t="n">
        <v>21.89</v>
      </c>
      <c r="D8" s="13" t="n">
        <v>98.59999999999999</v>
      </c>
      <c r="E8" s="14" t="n">
        <v>132.9</v>
      </c>
    </row>
    <row r="9">
      <c r="A9" t="s">
        <v>38</v>
      </c>
      <c r="B9" s="12" t="n">
        <v>9.01</v>
      </c>
      <c r="C9" s="12" t="n">
        <v>30.91</v>
      </c>
      <c r="D9" s="13" t="n">
        <v>124.1</v>
      </c>
      <c r="E9" s="14" t="n">
        <v>252.9</v>
      </c>
    </row>
    <row r="10">
      <c r="A10" t="s">
        <v>39</v>
      </c>
      <c r="B10" s="12" t="n">
        <v>11.03</v>
      </c>
      <c r="C10" s="12" t="n">
        <v>41.93</v>
      </c>
      <c r="D10" s="13" t="n">
        <v>148.8</v>
      </c>
      <c r="E10" s="14" t="n">
        <v>257.9</v>
      </c>
    </row>
    <row r="11">
      <c r="A11" t="s">
        <v>40</v>
      </c>
      <c r="B11" s="12" t="n">
        <v>18.05</v>
      </c>
      <c r="C11" s="12" t="n">
        <v>59.98</v>
      </c>
      <c r="D11" s="13" t="n">
        <v>174.2</v>
      </c>
      <c r="E11" s="14" t="n">
        <v>671.7</v>
      </c>
    </row>
    <row r="12">
      <c r="A12" t="s">
        <v>41</v>
      </c>
      <c r="B12" s="12" t="n">
        <v>14.02</v>
      </c>
      <c r="C12" s="12" t="n">
        <v>74</v>
      </c>
      <c r="D12" s="13" t="n">
        <v>199.7</v>
      </c>
      <c r="E12" s="14" t="n">
        <v>409</v>
      </c>
    </row>
    <row r="13">
      <c r="A13" t="s">
        <v>42</v>
      </c>
      <c r="B13" s="12" t="n">
        <v>11.01</v>
      </c>
      <c r="C13" s="12" t="n">
        <v>85.01000000000001</v>
      </c>
      <c r="D13" s="13" t="n">
        <v>224.4</v>
      </c>
      <c r="E13" s="14" t="n">
        <v>262.3</v>
      </c>
    </row>
    <row r="14">
      <c r="A14" t="s">
        <v>43</v>
      </c>
      <c r="B14" s="12" t="n">
        <v>2.99</v>
      </c>
      <c r="C14" s="12" t="n">
        <v>88</v>
      </c>
      <c r="D14" s="13" t="n">
        <v>249.9</v>
      </c>
      <c r="E14" s="14" t="n">
        <v>63.5</v>
      </c>
    </row>
    <row r="15">
      <c r="A15" s="10" t="s">
        <v>44</v>
      </c>
      <c r="B15" s="15" t="n">
        <v>88</v>
      </c>
      <c r="C15" s="10" t="n"/>
      <c r="D15" s="10" t="n"/>
      <c r="E15" s="16" t="n">
        <v>2758.1</v>
      </c>
    </row>
    <row r="17">
      <c r="A17" s="10" t="s">
        <v>45</v>
      </c>
      <c r="B17" s="17" t="n">
        <v>31342</v>
      </c>
    </row>
    <row r="19">
      <c r="A19" s="2" t="s">
        <v>46</v>
      </c>
    </row>
    <row r="20">
      <c r="A20" s="2" t="s">
        <v>47</v>
      </c>
    </row>
    <row r="21">
      <c r="A21" s="2" t="s">
        <v>48</v>
      </c>
    </row>
    <row r="22">
      <c r="A22" s="2" t="s">
        <v>49</v>
      </c>
    </row>
    <row r="23">
      <c r="A23" s="2" t="s">
        <v>50</v>
      </c>
    </row>
    <row r="24">
      <c r="A24" s="2" t="s">
        <v>51</v>
      </c>
    </row>
    <row r="25">
      <c r="A25" s="2" t="s">
        <v>52</v>
      </c>
    </row>
    <row r="26">
      <c r="A26" s="2" t="s">
        <v>53</v>
      </c>
    </row>
    <row r="27">
      <c r="A27" s="2" t="s">
        <v>54</v>
      </c>
    </row>
    <row r="28">
      <c r="A28" s="2" t="s">
        <v>55</v>
      </c>
    </row>
    <row r="29">
      <c r="A29" s="2" t="s">
        <v>56</v>
      </c>
    </row>
    <row r="30">
      <c r="A30" s="2" t="s">
        <v>57</v>
      </c>
    </row>
    <row r="31">
      <c r="A31" s="2" t="s">
        <v>58</v>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s">
        <v>59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0" customWidth="1" min="1" max="1"/>
    <col width="64" customWidth="1" min="2" max="2"/>
  </cols>
  <sheetData>
    <row r="1">
      <c r="A1" s="18" t="s">
        <v>60</v>
      </c>
      <c r="B1" s="18" t="s">
        <v>61</v>
      </c>
    </row>
    <row r="2">
      <c r="A2" t="s">
        <v>62</v>
      </c>
      <c r="B2" t="s">
        <v>63</v>
      </c>
    </row>
    <row r="3">
      <c r="A3" t="s">
        <v>64</v>
      </c>
      <c r="B3" t="s">
        <v>65</v>
      </c>
    </row>
    <row r="4">
      <c r="A4" t="s">
        <v>66</v>
      </c>
      <c r="B4" t="s">
        <v>67</v>
      </c>
    </row>
    <row r="5">
      <c r="A5" t="s">
        <v>68</v>
      </c>
      <c r="B5" t="s">
        <v>69</v>
      </c>
    </row>
    <row r="6">
      <c r="A6" t="s">
        <v>70</v>
      </c>
      <c r="B6" t="s">
        <v>71</v>
      </c>
    </row>
    <row r="7">
      <c r="A7" t="s">
        <v>72</v>
      </c>
      <c r="B7" t="s">
        <v>73</v>
      </c>
    </row>
    <row r="8">
      <c r="A8" t="s">
        <v>74</v>
      </c>
      <c r="B8" t="s">
        <v>75</v>
      </c>
    </row>
    <row r="9">
      <c r="A9" t="s">
        <v>76</v>
      </c>
      <c r="B9" t="s">
        <v>77</v>
      </c>
    </row>
    <row r="10">
      <c r="A10" t="s">
        <v>78</v>
      </c>
      <c r="B10" t="s">
        <v>79</v>
      </c>
    </row>
    <row r="12">
      <c r="A12" s="2" t="s">
        <v>80</v>
      </c>
    </row>
  </sheetData>
  <pageMargins left="0.75" right="0.75" top="1" bottom="1" header="0.5" footer="0.5"/>
</worksheet>
</file>

<file path=docProps/app.xml><?xml version="1.0" encoding="utf-8"?>
<Properties xmlns="http://schemas.openxmlformats.org/officeDocument/2006/extended-properties">
  <Application>Microsoft Excel</Application>
  <AppVersion>16.0300</AppVersion>
  <Company>Tallgrove Storage Partners, LLC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Hailey Cooper</dc:creator>
  <cp:lastModifiedBy>Hailey Cooper</cp:lastModifiedBy>
  <dcterms:created xsi:type="dcterms:W3CDTF">2026-11-16T14:05:00Z</dcterms:created>
  <dcterms:modified xsi:type="dcterms:W3CDTF">2026-11-20T17:48:22Z</dcterms:modified>
</cp:coreProperties>
</file>